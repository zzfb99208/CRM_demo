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客户\2. 订单发货\9. 商务培训\1. 客户档案 Customer database\"/>
    </mc:Choice>
  </mc:AlternateContent>
  <xr:revisionPtr revIDLastSave="0" documentId="13_ncr:1_{C0D61CCD-B050-4802-949B-9D735C51B052}" xr6:coauthVersionLast="47" xr6:coauthVersionMax="47" xr10:uidLastSave="{00000000-0000-0000-0000-000000000000}"/>
  <bookViews>
    <workbookView xWindow="-108" yWindow="-108" windowWidth="23256" windowHeight="12576" activeTab="1" xr2:uid="{5505DB1E-A8B1-4025-9129-BEA132DCDD41}"/>
  </bookViews>
  <sheets>
    <sheet name="Customers" sheetId="1" r:id="rId1"/>
    <sheet name="Products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3" i="2" l="1"/>
  <c r="E113" i="2"/>
  <c r="C113" i="2"/>
  <c r="F112" i="2"/>
  <c r="E112" i="2"/>
  <c r="C112" i="2"/>
  <c r="F111" i="2"/>
  <c r="C111" i="2"/>
  <c r="F110" i="2"/>
  <c r="C110" i="2"/>
  <c r="F109" i="2"/>
  <c r="C109" i="2"/>
  <c r="F108" i="2"/>
  <c r="C108" i="2"/>
  <c r="F107" i="2"/>
  <c r="C107" i="2"/>
  <c r="F106" i="2"/>
  <c r="C106" i="2"/>
  <c r="F105" i="2"/>
  <c r="C105" i="2"/>
  <c r="F104" i="2"/>
  <c r="C104" i="2"/>
  <c r="F103" i="2"/>
  <c r="C103" i="2"/>
  <c r="F102" i="2"/>
  <c r="C102" i="2"/>
  <c r="F101" i="2"/>
  <c r="C101" i="2"/>
  <c r="F100" i="2"/>
  <c r="C100" i="2"/>
  <c r="F99" i="2"/>
  <c r="C99" i="2"/>
  <c r="F98" i="2"/>
  <c r="C98" i="2"/>
  <c r="F97" i="2"/>
  <c r="C97" i="2"/>
  <c r="F96" i="2"/>
  <c r="C96" i="2"/>
  <c r="F95" i="2"/>
  <c r="C95" i="2"/>
  <c r="F94" i="2"/>
  <c r="C94" i="2"/>
  <c r="F93" i="2"/>
  <c r="C93" i="2"/>
  <c r="F92" i="2"/>
  <c r="C92" i="2"/>
  <c r="F91" i="2"/>
  <c r="C91" i="2"/>
  <c r="F90" i="2"/>
  <c r="C90" i="2"/>
  <c r="F89" i="2"/>
  <c r="C89" i="2"/>
  <c r="F88" i="2"/>
  <c r="C88" i="2"/>
  <c r="F87" i="2"/>
  <c r="C87" i="2"/>
  <c r="F86" i="2"/>
  <c r="C86" i="2"/>
  <c r="F85" i="2"/>
  <c r="C85" i="2"/>
  <c r="F84" i="2"/>
  <c r="C84" i="2"/>
  <c r="F83" i="2"/>
  <c r="C83" i="2"/>
  <c r="F82" i="2"/>
  <c r="C82" i="2"/>
  <c r="F81" i="2"/>
  <c r="C81" i="2"/>
  <c r="F80" i="2"/>
  <c r="C80" i="2"/>
  <c r="F79" i="2"/>
  <c r="C79" i="2"/>
  <c r="F78" i="2"/>
  <c r="C78" i="2"/>
  <c r="F77" i="2"/>
  <c r="C77" i="2"/>
  <c r="F76" i="2"/>
  <c r="C76" i="2"/>
  <c r="F75" i="2"/>
  <c r="C75" i="2"/>
  <c r="F74" i="2"/>
  <c r="C74" i="2"/>
  <c r="F73" i="2"/>
  <c r="C73" i="2"/>
  <c r="F72" i="2"/>
  <c r="C72" i="2"/>
  <c r="F71" i="2"/>
  <c r="C71" i="2"/>
  <c r="F70" i="2"/>
  <c r="C70" i="2"/>
  <c r="F69" i="2"/>
  <c r="C69" i="2"/>
  <c r="F68" i="2"/>
  <c r="C68" i="2"/>
  <c r="F67" i="2"/>
  <c r="C67" i="2"/>
  <c r="F66" i="2"/>
  <c r="C66" i="2"/>
  <c r="F65" i="2"/>
  <c r="C65" i="2"/>
  <c r="F64" i="2"/>
  <c r="C64" i="2"/>
  <c r="F63" i="2"/>
  <c r="C63" i="2"/>
  <c r="F62" i="2"/>
  <c r="C62" i="2"/>
  <c r="F61" i="2"/>
  <c r="C61" i="2"/>
  <c r="F60" i="2"/>
  <c r="C60" i="2"/>
  <c r="F59" i="2"/>
  <c r="C59" i="2"/>
  <c r="F58" i="2"/>
  <c r="C58" i="2"/>
  <c r="F57" i="2"/>
  <c r="C57" i="2"/>
  <c r="F56" i="2"/>
  <c r="C56" i="2"/>
  <c r="F55" i="2"/>
  <c r="C55" i="2"/>
  <c r="F54" i="2"/>
  <c r="C54" i="2"/>
  <c r="F53" i="2"/>
  <c r="C53" i="2"/>
  <c r="F52" i="2"/>
  <c r="C52" i="2"/>
  <c r="F51" i="2"/>
  <c r="C51" i="2"/>
  <c r="F50" i="2"/>
  <c r="C50" i="2"/>
  <c r="F49" i="2"/>
  <c r="C49" i="2"/>
  <c r="F48" i="2"/>
  <c r="C48" i="2"/>
  <c r="F47" i="2"/>
  <c r="C47" i="2"/>
  <c r="F46" i="2"/>
  <c r="C46" i="2"/>
  <c r="F45" i="2"/>
  <c r="C45" i="2"/>
  <c r="F44" i="2"/>
  <c r="C44" i="2"/>
  <c r="F43" i="2"/>
  <c r="C43" i="2"/>
  <c r="F42" i="2"/>
  <c r="C42" i="2"/>
  <c r="F41" i="2"/>
  <c r="C41" i="2"/>
  <c r="F40" i="2"/>
  <c r="C40" i="2"/>
  <c r="F39" i="2"/>
  <c r="C39" i="2"/>
  <c r="F38" i="2"/>
  <c r="C38" i="2"/>
  <c r="F37" i="2"/>
  <c r="C37" i="2"/>
  <c r="F36" i="2"/>
  <c r="C36" i="2"/>
  <c r="F35" i="2"/>
  <c r="C35" i="2"/>
  <c r="F34" i="2"/>
  <c r="C34" i="2"/>
  <c r="F33" i="2"/>
  <c r="C33" i="2"/>
  <c r="F32" i="2"/>
  <c r="C32" i="2"/>
  <c r="F31" i="2"/>
  <c r="C31" i="2"/>
  <c r="F30" i="2"/>
  <c r="C30" i="2"/>
  <c r="F29" i="2"/>
  <c r="C29" i="2"/>
  <c r="F28" i="2"/>
  <c r="C28" i="2"/>
  <c r="F27" i="2"/>
  <c r="C27" i="2"/>
  <c r="F26" i="2"/>
  <c r="C26" i="2"/>
  <c r="F25" i="2"/>
  <c r="C25" i="2"/>
  <c r="F24" i="2"/>
  <c r="C24" i="2"/>
  <c r="F23" i="2"/>
  <c r="C23" i="2"/>
  <c r="F22" i="2"/>
  <c r="C22" i="2"/>
  <c r="F21" i="2"/>
  <c r="C21" i="2"/>
  <c r="F20" i="2"/>
  <c r="C20" i="2"/>
  <c r="F19" i="2"/>
  <c r="C19" i="2"/>
  <c r="F18" i="2"/>
  <c r="C18" i="2"/>
  <c r="F17" i="2"/>
  <c r="C17" i="2"/>
  <c r="F16" i="2"/>
  <c r="C16" i="2"/>
  <c r="F15" i="2"/>
  <c r="C15" i="2"/>
  <c r="F14" i="2"/>
  <c r="C14" i="2"/>
  <c r="F13" i="2"/>
  <c r="C13" i="2"/>
  <c r="F12" i="2"/>
  <c r="C12" i="2"/>
  <c r="F11" i="2"/>
  <c r="C11" i="2"/>
  <c r="F10" i="2"/>
  <c r="C10" i="2"/>
  <c r="F9" i="2"/>
  <c r="C9" i="2"/>
  <c r="F8" i="2"/>
  <c r="C8" i="2"/>
  <c r="F7" i="2"/>
  <c r="C7" i="2"/>
  <c r="F6" i="2"/>
  <c r="C6" i="2"/>
  <c r="F5" i="2"/>
  <c r="C5" i="2"/>
  <c r="F4" i="2"/>
  <c r="C4" i="2"/>
  <c r="F3" i="2"/>
  <c r="C3" i="2"/>
</calcChain>
</file>

<file path=xl/sharedStrings.xml><?xml version="1.0" encoding="utf-8"?>
<sst xmlns="http://schemas.openxmlformats.org/spreadsheetml/2006/main" count="270" uniqueCount="265">
  <si>
    <t>Customer ID</t>
  </si>
  <si>
    <t>AMD</t>
    <phoneticPr fontId="3" type="noConversion"/>
  </si>
  <si>
    <t>Customer Tiering</t>
    <phoneticPr fontId="3" type="noConversion"/>
  </si>
  <si>
    <t>Company Name</t>
  </si>
  <si>
    <t>Website</t>
    <phoneticPr fontId="3" type="noConversion"/>
  </si>
  <si>
    <t>Region cover</t>
    <phoneticPr fontId="3" type="noConversion"/>
  </si>
  <si>
    <t>Italy, Netherlands,Belgium, Spain, France</t>
    <phoneticPr fontId="3" type="noConversion"/>
  </si>
  <si>
    <t>Distribution type</t>
    <phoneticPr fontId="3" type="noConversion"/>
  </si>
  <si>
    <t>Exclusive distributor</t>
    <phoneticPr fontId="3" type="noConversion"/>
  </si>
  <si>
    <t>Term of Agreement</t>
    <phoneticPr fontId="3" type="noConversion"/>
  </si>
  <si>
    <t>Payment Terms</t>
    <phoneticPr fontId="3" type="noConversion"/>
  </si>
  <si>
    <t>Currency</t>
    <phoneticPr fontId="3" type="noConversion"/>
  </si>
  <si>
    <t>EUR</t>
    <phoneticPr fontId="3" type="noConversion"/>
  </si>
  <si>
    <t>TAX No.</t>
    <phoneticPr fontId="3" type="noConversion"/>
  </si>
  <si>
    <t>Bank Information</t>
    <phoneticPr fontId="3" type="noConversion"/>
  </si>
  <si>
    <t>Contact</t>
  </si>
  <si>
    <t>Title</t>
    <phoneticPr fontId="3" type="noConversion"/>
  </si>
  <si>
    <t>Email</t>
  </si>
  <si>
    <t>Phone</t>
  </si>
  <si>
    <t>Notes</t>
    <phoneticPr fontId="3" type="noConversion"/>
  </si>
  <si>
    <t>Add</t>
    <phoneticPr fontId="3" type="noConversion"/>
  </si>
  <si>
    <t>Global Marketing and Business Development Director</t>
    <phoneticPr fontId="3" type="noConversion"/>
  </si>
  <si>
    <t>Global Marketing Manager Molecular &amp; Advanced Technologies</t>
    <phoneticPr fontId="3" type="noConversion"/>
  </si>
  <si>
    <t>Global Application Lead - Molecular Diagnostics</t>
    <phoneticPr fontId="3" type="noConversion"/>
  </si>
  <si>
    <t xml:space="preserve">ORDER </t>
    <phoneticPr fontId="3" type="noConversion"/>
  </si>
  <si>
    <t>Product List</t>
    <phoneticPr fontId="3" type="noConversion"/>
  </si>
  <si>
    <t>Currency</t>
  </si>
  <si>
    <t>Menarini code</t>
  </si>
  <si>
    <t>Coyote code</t>
  </si>
  <si>
    <t>Product Name</t>
  </si>
  <si>
    <t>Description</t>
  </si>
  <si>
    <t>Unit Price/kit</t>
    <phoneticPr fontId="3" type="noConversion"/>
  </si>
  <si>
    <t>Unit Price/test</t>
    <phoneticPr fontId="3" type="noConversion"/>
  </si>
  <si>
    <t>Active</t>
  </si>
  <si>
    <t>Notes</t>
  </si>
  <si>
    <t>COYOTE FLASH10 SYSTEM 2004009001</t>
  </si>
  <si>
    <t>COYOTE NANO SYSTEM 2004009202</t>
  </si>
  <si>
    <t>6018006402-CE</t>
  </si>
  <si>
    <t>LCD-A SARS 6018006402-CE</t>
  </si>
  <si>
    <t>6018006405-CE</t>
  </si>
  <si>
    <t>LCD-B SARS 6018006405-CE</t>
  </si>
  <si>
    <t>6018007102-CE</t>
  </si>
  <si>
    <t>LCE-A SARS 6018007102-CE</t>
  </si>
  <si>
    <t>6018007105-CE</t>
  </si>
  <si>
    <t>LCE-B SARS 6018007105-CE</t>
  </si>
  <si>
    <t>6018006802-CE</t>
  </si>
  <si>
    <t>MD.LCD-A SARS FLA FLB 6018006802-CE</t>
  </si>
  <si>
    <t>6018006805-CE</t>
  </si>
  <si>
    <t>MD.LCD-B SARS FLA FLB 6018006805-CE</t>
  </si>
  <si>
    <t>6018007202-CE</t>
  </si>
  <si>
    <t>LCE-A SARS FLUA FLUB 6018007202-CE</t>
  </si>
  <si>
    <t>6018007205-CE</t>
  </si>
  <si>
    <t>LCE-B SARS FLUA FLUB 6018007205-CE</t>
  </si>
  <si>
    <t>6018011502-CE</t>
  </si>
  <si>
    <t>MD.LCD-A FLUA FLB RSV 6018011502-CE</t>
  </si>
  <si>
    <t>6018011505-CE</t>
  </si>
  <si>
    <t>MD.LCD-B FLUA FLB RSV 6018011505-CE</t>
  </si>
  <si>
    <t>6018011602-CE</t>
  </si>
  <si>
    <t>MD.LCE-A FLUA FLB RSV 6018011602-CE</t>
  </si>
  <si>
    <t>6018011605-CE</t>
  </si>
  <si>
    <t>MD.LCE-B FLUA FLB RSV 6018011605-CE</t>
  </si>
  <si>
    <t>6018012302-CE</t>
  </si>
  <si>
    <t>MD.LCD-A MG TV MH 6018012302-CE</t>
  </si>
  <si>
    <t>6018012305-CE</t>
  </si>
  <si>
    <t>MD.LCD-B MG TV MH 6018012305-CE</t>
  </si>
  <si>
    <t>6018012502-CE</t>
  </si>
  <si>
    <t>MD.LCE-A MG TV MH 6018012502-CE</t>
  </si>
  <si>
    <t>6018012505-CE</t>
  </si>
  <si>
    <t>MD.LCE-B MG TV MH 6018012505-CE</t>
  </si>
  <si>
    <t>6018011802-R</t>
  </si>
  <si>
    <t>MD.LCD-A CT NG UU 6018011802-R</t>
  </si>
  <si>
    <t>6018011805-R</t>
  </si>
  <si>
    <t>MD.LCD-B CT NG UU 6018011805-R</t>
  </si>
  <si>
    <t>6018011802-CE</t>
  </si>
  <si>
    <t>MD.LCD-A NG UU 6018011802-CE</t>
  </si>
  <si>
    <t>6018011805-CE</t>
  </si>
  <si>
    <t>MD.LCD-B NG UU 6018011805-CE</t>
  </si>
  <si>
    <t>6018012102-CE</t>
  </si>
  <si>
    <t>MD.LCD-A HSV1 HSV2 6018012102-CE</t>
  </si>
  <si>
    <t>6018012105-CE</t>
  </si>
  <si>
    <t>MD.LCD-B HSV1 HSV2 6018012105-CE</t>
  </si>
  <si>
    <t>6018012202-CE</t>
  </si>
  <si>
    <t>MD.LCE-A HSV1 HSV2 6018012202-CE</t>
  </si>
  <si>
    <t>6018012205-CE</t>
  </si>
  <si>
    <t>MD.LCE-B HSV1 HSV26018012205-CE</t>
  </si>
  <si>
    <t>6018032102-CE</t>
  </si>
  <si>
    <t>LCE-A HSV1 HSV2 VZV 6018032102-CE</t>
  </si>
  <si>
    <t>6018032105-CE</t>
  </si>
  <si>
    <t>LCE-B HSV1 HSV2 VZV 6018032105-CE</t>
  </si>
  <si>
    <t>6018033202-CE</t>
  </si>
  <si>
    <t>MD.LCE-B DENGUE I-II 6018033202-CE</t>
  </si>
  <si>
    <t>6018033402-CE</t>
  </si>
  <si>
    <t>MD.LCE-B DENGUE III-IV6018033402-CE</t>
  </si>
  <si>
    <t>6018031802-CE</t>
  </si>
  <si>
    <t>LCE-A SARS FLU RSV 6018031802-CE</t>
  </si>
  <si>
    <t>6018031805-CE</t>
  </si>
  <si>
    <t>LCE-B SARS FLU RSV 6018031805-CE</t>
  </si>
  <si>
    <t>6018020402-CE</t>
  </si>
  <si>
    <t>LCE-A MRSA/SA 6018020402-CE</t>
  </si>
  <si>
    <t>6018020405-CE</t>
  </si>
  <si>
    <t>LCE-B MRSA/SA 6018020405-CE</t>
  </si>
  <si>
    <t>6018026302-CE</t>
  </si>
  <si>
    <t>LCE-A RSV MPN ADV 6018026302-CE</t>
  </si>
  <si>
    <t>6018026305-CE</t>
  </si>
  <si>
    <t>LCE-B RSV MPN ADV 6018026305-CE</t>
  </si>
  <si>
    <t>6018033002-CE</t>
  </si>
  <si>
    <t>LCE-B NOROVIRUS 6018033002-CE</t>
  </si>
  <si>
    <t>6018018605-CE</t>
  </si>
  <si>
    <t>LCE-B ENTEROVIRUS71 6018018605-CE</t>
  </si>
  <si>
    <t>6018022502-CE</t>
  </si>
  <si>
    <t>LCE-A MPOX 6018022502-CE</t>
  </si>
  <si>
    <t>6018022507-CE</t>
  </si>
  <si>
    <t>LCE-B MPOX 6018022507-CE</t>
  </si>
  <si>
    <t>6018017717-CE</t>
  </si>
  <si>
    <t>MD.LCE-B CHIK 6018017717-CE</t>
  </si>
  <si>
    <t>6022001102-EN</t>
  </si>
  <si>
    <t>MD.LCD-A CANINE DIST 6022001102-EN</t>
  </si>
  <si>
    <t>6022001202-EN</t>
  </si>
  <si>
    <t>MD.LCE-A AFR SW FEVER 6022001202-EN</t>
  </si>
  <si>
    <t>6022001302-EN</t>
  </si>
  <si>
    <t>MD.LCD-A CIA CADV CPI 6022001302-EN</t>
  </si>
  <si>
    <t>6022001402-EN</t>
  </si>
  <si>
    <t>MD.LCD-A FCV FHV 6022001402-EN</t>
  </si>
  <si>
    <t>6022001502-EN</t>
  </si>
  <si>
    <t>MD.LCD-A MF CHF BORDB 6022001502-EN</t>
  </si>
  <si>
    <t>6022001602-EN</t>
  </si>
  <si>
    <t>MD.LCE-B FCOV FPV 6022001602-EN</t>
  </si>
  <si>
    <t>6022001702-EN</t>
  </si>
  <si>
    <t>MD.LCE-B FIPV 6022001702-EN</t>
  </si>
  <si>
    <t>6018023505-CE</t>
  </si>
  <si>
    <t>MD.UTM OROPHAR SWAB 6018023505-CE</t>
  </si>
  <si>
    <t>6018023511-CE</t>
  </si>
  <si>
    <t>MD.UTM NASOP.SWAB 6018023511-CE</t>
  </si>
  <si>
    <t/>
  </si>
  <si>
    <t>MONTHLY RENT FLASHDET FLASH10</t>
  </si>
  <si>
    <t>MONTHLY RENT FLASHDET NANO SYSTEM</t>
  </si>
  <si>
    <t>FULL RISK FLASHDET FLASH10</t>
  </si>
  <si>
    <t>FULL RISK FLASHDET NANO SYSTEM</t>
  </si>
  <si>
    <t>2203026901</t>
  </si>
  <si>
    <t>HS MODULE 2203026901</t>
  </si>
  <si>
    <t>4012000501</t>
  </si>
  <si>
    <t>POWER SUPPLY 4012000501</t>
  </si>
  <si>
    <t>4008015801</t>
  </si>
  <si>
    <t>COMPUTER EMBEDDED 4008015801</t>
  </si>
  <si>
    <t>4020001001</t>
  </si>
  <si>
    <t>SCREEN LCD 4020001001</t>
  </si>
  <si>
    <t>2203018201</t>
  </si>
  <si>
    <t>FUSE 2203018201</t>
  </si>
  <si>
    <t>4017001501</t>
  </si>
  <si>
    <t>FAN BACK COVER 4017001501</t>
  </si>
  <si>
    <t>4017002901</t>
  </si>
  <si>
    <t>FAN ELECTRIC BOX 4017002901</t>
  </si>
  <si>
    <t>3105024001</t>
  </si>
  <si>
    <t>FRONT COVER 3105024001</t>
  </si>
  <si>
    <t>3105024301</t>
  </si>
  <si>
    <t>BACK COVER 3105024301</t>
  </si>
  <si>
    <t>2006000701</t>
  </si>
  <si>
    <t>TOOL THERMAL 2006000701</t>
  </si>
  <si>
    <t>4403011402</t>
  </si>
  <si>
    <t>TOOL MOTOR M1-M2 4403011402</t>
  </si>
  <si>
    <t>4403012101</t>
  </si>
  <si>
    <t>TOOL MOTOR M3 4403012101</t>
  </si>
  <si>
    <t>6018034205-EN</t>
  </si>
  <si>
    <t>MD.LCE-B CT NG UU 6018034205-EN</t>
  </si>
  <si>
    <t>6018011905-CE</t>
  </si>
  <si>
    <t>MD.LCE-B NG UU 6018011905-CE</t>
  </si>
  <si>
    <t>6018027105-CE</t>
  </si>
  <si>
    <t>MD.LCE-B GBS 6018027105-CE</t>
  </si>
  <si>
    <t>6018034202-EN</t>
  </si>
  <si>
    <t>MD.LCE-A CT NG UU 6018034202-EN</t>
  </si>
  <si>
    <t>6018011902-CE</t>
  </si>
  <si>
    <t>MD.LCE-A NG UU 6018011902-CE</t>
  </si>
  <si>
    <t>6018027102-CE</t>
  </si>
  <si>
    <t>MD.LCE-A GBS 6018027102-CE</t>
  </si>
  <si>
    <t>6018021902-CE</t>
  </si>
  <si>
    <t>MD.LCE-A STREPA 6018021902-CE</t>
  </si>
  <si>
    <t>6018021905-CE</t>
  </si>
  <si>
    <t>MD.LCE-B STREPA 6018021905-CE</t>
  </si>
  <si>
    <t>6018031701-CE</t>
  </si>
  <si>
    <t>MD.STOOL BUFFER 6018031701-CE</t>
  </si>
  <si>
    <t>6018025502-EN</t>
  </si>
  <si>
    <t>MD.LCD-A ALDH2 6018025502-EN</t>
  </si>
  <si>
    <t>6001024702-EN</t>
  </si>
  <si>
    <t>MD.LCD-A MTHFR C677T 6001024702-EN</t>
  </si>
  <si>
    <t>6018006501-CE</t>
  </si>
  <si>
    <t>MD.EQC-A SARS 6018006501-CE</t>
  </si>
  <si>
    <t>6018006502-CE</t>
  </si>
  <si>
    <t>MD.EQC-B SARS 6018006502-CE</t>
  </si>
  <si>
    <t>6018006901-CE</t>
    <phoneticPr fontId="3" type="noConversion"/>
  </si>
  <si>
    <t>MD.EQC-A SARS FLA FLB 6018006901-CE</t>
    <phoneticPr fontId="3" type="noConversion"/>
  </si>
  <si>
    <t>6018006902-CE</t>
  </si>
  <si>
    <t>MD.EQC-B SARS FLA FLB 6018006902-CE</t>
  </si>
  <si>
    <t>6018032001-CE</t>
    <phoneticPr fontId="3" type="noConversion"/>
  </si>
  <si>
    <t>MD.EQC-A SARS FLU RSV 6018032001-CE</t>
  </si>
  <si>
    <t>6018032002-CE</t>
    <phoneticPr fontId="3" type="noConversion"/>
  </si>
  <si>
    <t>MD.EQC-B SARS FLU RSV 6018032002-CE</t>
    <phoneticPr fontId="3" type="noConversion"/>
  </si>
  <si>
    <t>6018010301-CE</t>
  </si>
  <si>
    <t>MD.EQC-A MG TV MH 6018010301-CE</t>
  </si>
  <si>
    <t>6018010302-CE</t>
  </si>
  <si>
    <t>MD.EQC-B MG TV MH 6018010302-CE</t>
  </si>
  <si>
    <t>SAMPLE PREPARATION SYS 2013002001</t>
  </si>
  <si>
    <t>6018010901-CE</t>
    <phoneticPr fontId="3" type="noConversion"/>
  </si>
  <si>
    <t>MD.EQC-A FLA FLB RSV 6018010901-CE</t>
  </si>
  <si>
    <t>6018010902-CE</t>
  </si>
  <si>
    <t>MD.EQC-B FLA FLB RSV 6018010902-CE</t>
  </si>
  <si>
    <t>6018018802-CE</t>
  </si>
  <si>
    <t>MD.EQC-B ENTERO71 6018018802-CE</t>
  </si>
  <si>
    <t>6018022701-CE</t>
  </si>
  <si>
    <t>MD.EQC-A MPOX 6018022701-CE</t>
  </si>
  <si>
    <t>6018022702-CE</t>
  </si>
  <si>
    <t>MD.EQC-B MPOX 6018022702-CE</t>
  </si>
  <si>
    <t>6018033301-CE</t>
  </si>
  <si>
    <t>MD.EQC-B DENV I-II 6018033301-CE</t>
  </si>
  <si>
    <t>6018033501-CE</t>
    <phoneticPr fontId="3" type="noConversion"/>
  </si>
  <si>
    <t>MD.EQC-B DENV III-IV 6018033501-CE</t>
    <phoneticPr fontId="3" type="noConversion"/>
  </si>
  <si>
    <t>6018013902-CE</t>
    <phoneticPr fontId="3" type="noConversion"/>
  </si>
  <si>
    <t>MD.LCE-A MTB 6018013902-CE</t>
  </si>
  <si>
    <t>6018013905-CE</t>
  </si>
  <si>
    <t>MD.LCE-B MTB 6018013905-CE</t>
  </si>
  <si>
    <t>6018023519-CE</t>
  </si>
  <si>
    <t>MD.MULTI DRY SWAB 6018023519-CE</t>
  </si>
  <si>
    <t>6018023520-CE</t>
  </si>
  <si>
    <t>MD.NAS/NASOP DRY SWAB 6018023520-CE</t>
  </si>
  <si>
    <t>6018037401-CE</t>
  </si>
  <si>
    <t>MD.SPUTUM LIQ KIT 6018037401-CE</t>
  </si>
  <si>
    <t>6018032401-CE</t>
  </si>
  <si>
    <t>MD.MICROB COLL KIT 6018032401-CE</t>
  </si>
  <si>
    <t>COYOTE FLASH10 08020005 2004009001</t>
    <phoneticPr fontId="3" type="noConversion"/>
  </si>
  <si>
    <t>6018023502-CE</t>
  </si>
  <si>
    <t>MD.UTM UNIVERSAL 6018023502-CE</t>
  </si>
  <si>
    <t>6018032802-CE</t>
  </si>
  <si>
    <t>MD.LCE-A HMPV HPIV 6018032802-CE</t>
  </si>
  <si>
    <t>6018032805-CE</t>
  </si>
  <si>
    <t>MD.LCE-B HMPV HPIV 6018032805-CE</t>
  </si>
  <si>
    <t>6018013502-CE</t>
  </si>
  <si>
    <t>MD.LCE-A HPV HR 6018013502-CE</t>
  </si>
  <si>
    <t>6018013505-CE</t>
  </si>
  <si>
    <t>MD.LCE-B HPV HR 6018013505-CE</t>
  </si>
  <si>
    <t>6018022105-CE</t>
  </si>
  <si>
    <t>MD.LCE-B C.DIFF 6018022105-CE</t>
  </si>
  <si>
    <t>6018021002-CE</t>
  </si>
  <si>
    <t>MD.LCE-A CARBA-R 6018021002-CE</t>
  </si>
  <si>
    <t>6018021005-CE</t>
  </si>
  <si>
    <t>MD.LCE-B CARBA-R 6018021005-CE</t>
  </si>
  <si>
    <t>COYOTE NANO BACKPACK 7002027001</t>
  </si>
  <si>
    <t>6018032407-CE</t>
  </si>
  <si>
    <t>MD.MICROB KIT TONGUE 6018032407-CE</t>
  </si>
  <si>
    <t>6018023521-CE</t>
  </si>
  <si>
    <t>MD.OROPHAR/BUCCAL 6018023521-CE</t>
  </si>
  <si>
    <t>Incoterms</t>
    <phoneticPr fontId="3" type="noConversion"/>
  </si>
  <si>
    <t>FCA</t>
    <phoneticPr fontId="3" type="noConversion"/>
  </si>
  <si>
    <t>Special Notes</t>
    <phoneticPr fontId="3" type="noConversion"/>
  </si>
  <si>
    <t>Special Label and battery label</t>
    <phoneticPr fontId="3" type="noConversion"/>
  </si>
  <si>
    <t>2025.- 2027？</t>
    <phoneticPr fontId="3" type="noConversion"/>
  </si>
  <si>
    <r>
      <t>Net 60 days</t>
    </r>
    <r>
      <rPr>
        <b/>
        <sz val="9"/>
        <color theme="1"/>
        <rFont val="宋体"/>
        <family val="2"/>
        <charset val="134"/>
      </rPr>
      <t xml:space="preserve"> </t>
    </r>
    <r>
      <rPr>
        <b/>
        <sz val="9"/>
        <color theme="1"/>
        <rFont val="Microsoft JhengHei"/>
        <family val="2"/>
        <charset val="136"/>
      </rPr>
      <t>from invoice date</t>
    </r>
    <phoneticPr fontId="3" type="noConversion"/>
  </si>
  <si>
    <t>Assay Expiry date</t>
    <phoneticPr fontId="3" type="noConversion"/>
  </si>
  <si>
    <t>not less than 6 months</t>
    <phoneticPr fontId="3" type="noConversion"/>
  </si>
  <si>
    <t>Marketing</t>
    <phoneticPr fontId="3" type="noConversion"/>
  </si>
  <si>
    <t xml:space="preserve">Customer information </t>
    <phoneticPr fontId="3" type="noConversion"/>
  </si>
  <si>
    <t>A  ≥1.5M</t>
  </si>
  <si>
    <t xml:space="preserve">A. Menarini </t>
    <phoneticPr fontId="3" type="noConversion"/>
  </si>
  <si>
    <r>
      <t xml:space="preserve"> ncaroen@</t>
    </r>
    <r>
      <rPr>
        <u/>
        <sz val="9"/>
        <color theme="10"/>
        <rFont val="宋体"/>
        <family val="2"/>
        <charset val="134"/>
      </rPr>
      <t>111.com</t>
    </r>
    <phoneticPr fontId="3" type="noConversion"/>
  </si>
  <si>
    <r>
      <t xml:space="preserve"> ncaroen@</t>
    </r>
    <r>
      <rPr>
        <u/>
        <sz val="9"/>
        <color theme="10"/>
        <rFont val="宋体"/>
        <family val="2"/>
        <charset val="134"/>
      </rPr>
      <t>112.com</t>
    </r>
    <r>
      <rPr>
        <sz val="11"/>
        <color theme="1"/>
        <rFont val="等线"/>
        <family val="2"/>
        <scheme val="minor"/>
      </rPr>
      <t/>
    </r>
  </si>
  <si>
    <r>
      <t xml:space="preserve"> ncaroen@</t>
    </r>
    <r>
      <rPr>
        <u/>
        <sz val="9"/>
        <color theme="10"/>
        <rFont val="宋体"/>
        <family val="2"/>
        <charset val="134"/>
      </rPr>
      <t>113.com</t>
    </r>
    <r>
      <rPr>
        <sz val="11"/>
        <color theme="1"/>
        <rFont val="等线"/>
        <family val="2"/>
        <scheme val="minor"/>
      </rPr>
      <t/>
    </r>
  </si>
  <si>
    <r>
      <t xml:space="preserve"> ncaroen@</t>
    </r>
    <r>
      <rPr>
        <u/>
        <sz val="9"/>
        <color theme="10"/>
        <rFont val="宋体"/>
        <family val="2"/>
        <charset val="134"/>
      </rPr>
      <t>114.com</t>
    </r>
    <r>
      <rPr>
        <sz val="11"/>
        <color theme="1"/>
        <rFont val="等线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</si>
</sst>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€-2]\ #,##0.00"/>
  </numFmts>
  <fonts count="2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9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color theme="1"/>
      <name val="Microsoft JhengHei"/>
      <family val="2"/>
      <charset val="136"/>
    </font>
    <font>
      <sz val="9"/>
      <color theme="1"/>
      <name val="Microsoft JhengHei"/>
      <family val="2"/>
      <charset val="136"/>
    </font>
    <font>
      <b/>
      <sz val="9"/>
      <color theme="1"/>
      <name val="微软雅黑"/>
      <family val="2"/>
      <charset val="134"/>
    </font>
    <font>
      <b/>
      <sz val="9"/>
      <name val="Microsoft JhengHei"/>
      <family val="2"/>
      <charset val="136"/>
    </font>
    <font>
      <b/>
      <sz val="9"/>
      <color rgb="FF000000"/>
      <name val="Microsoft JhengHei"/>
      <family val="2"/>
      <charset val="136"/>
    </font>
    <font>
      <sz val="9"/>
      <color rgb="FF000000"/>
      <name val="Microsoft JhengHei"/>
      <family val="2"/>
      <charset val="136"/>
    </font>
    <font>
      <u/>
      <sz val="11"/>
      <color theme="10"/>
      <name val="等线"/>
      <family val="2"/>
      <scheme val="minor"/>
    </font>
    <font>
      <u/>
      <sz val="9"/>
      <color theme="10"/>
      <name val="Microsoft JhengHei"/>
      <family val="2"/>
      <charset val="136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Microsoft JhengHei"/>
      <family val="2"/>
      <charset val="136"/>
    </font>
    <font>
      <sz val="9"/>
      <color rgb="FFFF0000"/>
      <name val="Microsoft JhengHei"/>
      <family val="2"/>
      <charset val="136"/>
    </font>
    <font>
      <sz val="9"/>
      <color rgb="FFFF0000"/>
      <name val="微软雅黑"/>
      <family val="2"/>
      <charset val="134"/>
    </font>
    <font>
      <b/>
      <sz val="9"/>
      <color theme="1"/>
      <name val="宋体"/>
      <family val="2"/>
      <charset val="134"/>
    </font>
    <font>
      <u/>
      <sz val="9"/>
      <color theme="10"/>
      <name val="宋体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4" fillId="0" borderId="0"/>
  </cellStyleXfs>
  <cellXfs count="38">
    <xf numFmtId="0" fontId="0" fillId="0" borderId="0" xfId="0"/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5" borderId="0" xfId="0" applyFont="1" applyFill="1" applyAlignment="1">
      <alignment horizontal="left" vertic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0" fontId="12" fillId="6" borderId="0" xfId="0" applyFont="1" applyFill="1"/>
    <xf numFmtId="0" fontId="2" fillId="3" borderId="0" xfId="2" applyFont="1" applyFill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2" fillId="3" borderId="0" xfId="2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2" applyFont="1" applyAlignment="1">
      <alignment horizontal="left"/>
    </xf>
    <xf numFmtId="0" fontId="5" fillId="0" borderId="0" xfId="2" applyFont="1"/>
    <xf numFmtId="0" fontId="16" fillId="0" borderId="0" xfId="2" applyFont="1"/>
    <xf numFmtId="176" fontId="13" fillId="0" borderId="0" xfId="0" applyNumberFormat="1" applyFont="1"/>
    <xf numFmtId="0" fontId="16" fillId="7" borderId="0" xfId="2" applyFont="1" applyFill="1"/>
    <xf numFmtId="0" fontId="17" fillId="8" borderId="0" xfId="2" applyFont="1" applyFill="1" applyAlignment="1">
      <alignment horizontal="left"/>
    </xf>
    <xf numFmtId="0" fontId="16" fillId="7" borderId="0" xfId="2" applyFont="1" applyFill="1" applyAlignment="1">
      <alignment horizontal="left"/>
    </xf>
    <xf numFmtId="0" fontId="6" fillId="0" borderId="0" xfId="0" applyFont="1" applyBorder="1" applyAlignment="1">
      <alignment vertical="center"/>
    </xf>
    <xf numFmtId="0" fontId="2" fillId="9" borderId="1" xfId="0" applyFont="1" applyFill="1" applyBorder="1"/>
    <xf numFmtId="0" fontId="4" fillId="0" borderId="1" xfId="0" applyFont="1" applyBorder="1" applyAlignment="1">
      <alignment horizontal="left" indent="1"/>
    </xf>
    <xf numFmtId="0" fontId="2" fillId="2" borderId="1" xfId="0" applyFont="1" applyFill="1" applyBorder="1"/>
    <xf numFmtId="0" fontId="4" fillId="3" borderId="1" xfId="0" applyFont="1" applyFill="1" applyBorder="1" applyAlignment="1">
      <alignment horizontal="left" indent="1"/>
    </xf>
    <xf numFmtId="0" fontId="6" fillId="3" borderId="1" xfId="0" applyFont="1" applyFill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15" fillId="0" borderId="1" xfId="0" applyFont="1" applyBorder="1" applyAlignment="1">
      <alignment horizontal="left" indent="1"/>
    </xf>
    <xf numFmtId="0" fontId="18" fillId="0" borderId="1" xfId="0" applyFont="1" applyBorder="1" applyAlignment="1">
      <alignment horizontal="left" indent="1"/>
    </xf>
    <xf numFmtId="0" fontId="5" fillId="0" borderId="1" xfId="0" applyFont="1" applyBorder="1"/>
    <xf numFmtId="0" fontId="7" fillId="4" borderId="1" xfId="0" applyFont="1" applyFill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1" fillId="0" borderId="1" xfId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9" fillId="0" borderId="1" xfId="0" applyFont="1" applyBorder="1"/>
  </cellXfs>
  <cellStyles count="3">
    <cellStyle name="常规" xfId="0" builtinId="0"/>
    <cellStyle name="常规 4" xfId="2" xr:uid="{CFC349C9-BB30-45B0-9673-7BCFC1DE522F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.%20&#23458;&#25143;/1.%20&#23458;&#25143;/1.%20&#27431;&#27954;EU/1.%20&#24847;&#22823;&#21033;%20Menarini/&#35746;&#21333;/&#26631;&#31614;code/Coyote%20codes1129-&#26680;&#2354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YOTE\Downloads\Order_Management_Excel_EU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Sheet1"/>
      <sheetName val="list"/>
    </sheetNames>
    <sheetDataSet>
      <sheetData sheetId="0"/>
      <sheetData sheetId="1" refreshError="1"/>
      <sheetData sheetId="2">
        <row r="1">
          <cell r="A1" t="str">
            <v>Cat. No. #</v>
          </cell>
          <cell r="B1" t="str">
            <v>Description</v>
          </cell>
        </row>
        <row r="2">
          <cell r="A2">
            <v>8020002</v>
          </cell>
          <cell r="B2" t="str">
            <v>Real-Time PCR System (Flash20)</v>
          </cell>
        </row>
        <row r="3">
          <cell r="A3">
            <v>8020003</v>
          </cell>
          <cell r="B3" t="str">
            <v>FlashDetect Mixer FM-4</v>
          </cell>
        </row>
        <row r="4">
          <cell r="A4">
            <v>8020004</v>
          </cell>
          <cell r="B4" t="str">
            <v>FlashDetect Mixer FM-1</v>
          </cell>
        </row>
        <row r="5">
          <cell r="A5">
            <v>2004009001</v>
          </cell>
          <cell r="B5" t="str">
            <v xml:space="preserve">FlashDetect™ Flash10 System </v>
          </cell>
        </row>
        <row r="6">
          <cell r="A6">
            <v>2004009801</v>
          </cell>
          <cell r="B6" t="str">
            <v>FlashDetect™ Flash10 System （6-color channel）</v>
          </cell>
        </row>
        <row r="7">
          <cell r="A7">
            <v>2004009401</v>
          </cell>
          <cell r="B7" t="str">
            <v>FlashDetect™ Flash10 System （RUO）</v>
          </cell>
        </row>
        <row r="8">
          <cell r="A8">
            <v>2004009202</v>
          </cell>
          <cell r="B8" t="str">
            <v>FlashDetect™ Nano System （带加热模块)</v>
          </cell>
        </row>
        <row r="9">
          <cell r="A9">
            <v>2004008102</v>
          </cell>
          <cell r="B9" t="str">
            <v>FlashDetect™ Nano System (RUO)</v>
          </cell>
        </row>
        <row r="10">
          <cell r="A10">
            <v>2013002001</v>
          </cell>
          <cell r="B10" t="str">
            <v>Sample Preparation System（RUO）</v>
          </cell>
        </row>
        <row r="11">
          <cell r="A11" t="str">
            <v>6018006402-CE</v>
          </cell>
          <cell r="B11" t="str">
            <v>FlashDetect™ LyocartD SARS-CoV-2 Assay</v>
          </cell>
        </row>
        <row r="12">
          <cell r="A12" t="str">
            <v>6018006405-CE</v>
          </cell>
          <cell r="B12" t="str">
            <v xml:space="preserve">FlashDetect™ LyocartD SARS-CoV-2 Assay </v>
          </cell>
        </row>
        <row r="13">
          <cell r="A13" t="str">
            <v>6018007102-CE</v>
          </cell>
          <cell r="B13" t="str">
            <v>FlashDetect™ LyocartE SARS-CoV-2 Assay</v>
          </cell>
        </row>
        <row r="14">
          <cell r="A14" t="str">
            <v>6018007105-CE</v>
          </cell>
          <cell r="B14" t="str">
            <v>FlashDetect™ LyocartE SARS-CoV-2 Assay</v>
          </cell>
        </row>
        <row r="15">
          <cell r="A15" t="str">
            <v>6018006802-CE</v>
          </cell>
          <cell r="B15" t="str">
            <v>FlashDetect™ LyocartD SARS-CoV-2&amp;Flu A&amp;Flu B Assay</v>
          </cell>
        </row>
        <row r="16">
          <cell r="A16" t="str">
            <v>6018006805-CE</v>
          </cell>
          <cell r="B16" t="str">
            <v>FlashDetect™ LyocartD SARS-CoV-2&amp;Flu A&amp;Flu B Assay</v>
          </cell>
        </row>
        <row r="17">
          <cell r="A17" t="str">
            <v>6018007202-CE</v>
          </cell>
          <cell r="B17" t="str">
            <v>FlashDetect™ LyocartE SARS-CoV-2&amp;Flu A&amp;Flu B Assay</v>
          </cell>
        </row>
        <row r="18">
          <cell r="A18" t="str">
            <v>6018007205-CE</v>
          </cell>
          <cell r="B18" t="str">
            <v>FlashDetect™ LyocartE SARS-CoV-2&amp;Flu A&amp;Flu B Assay</v>
          </cell>
        </row>
        <row r="19">
          <cell r="A19" t="str">
            <v>6018011502-CE</v>
          </cell>
          <cell r="B19" t="str">
            <v>FlashDetect™ LyocartD FluA&amp;FluB&amp;RSV Assay</v>
          </cell>
        </row>
        <row r="20">
          <cell r="A20" t="str">
            <v>6018011505-CE</v>
          </cell>
          <cell r="B20" t="str">
            <v>FlashDetect™ LyocartD FluA&amp;FluB&amp;RSV Assay</v>
          </cell>
        </row>
        <row r="21">
          <cell r="A21" t="str">
            <v>6018011602-CE</v>
          </cell>
          <cell r="B21" t="str">
            <v>FlashDetect™ LyocartE FluA&amp;FluB&amp;RSV Assay</v>
          </cell>
        </row>
        <row r="22">
          <cell r="A22" t="str">
            <v>6018011605-CE</v>
          </cell>
          <cell r="B22" t="str">
            <v>FlashDetect™ LyocartE FluA&amp;FluB&amp;RSV Assay</v>
          </cell>
        </row>
        <row r="23">
          <cell r="A23" t="str">
            <v>6018012302-CE</v>
          </cell>
          <cell r="B23" t="str">
            <v xml:space="preserve">FlashDetect™ LyocartD MG&amp;TV&amp;MH Assay </v>
          </cell>
        </row>
        <row r="24">
          <cell r="A24" t="str">
            <v>6018012305-CE</v>
          </cell>
          <cell r="B24" t="str">
            <v xml:space="preserve">FlashDetect™ LyocartD MG&amp;TV&amp;MH Assay </v>
          </cell>
        </row>
        <row r="25">
          <cell r="A25" t="str">
            <v>6018012502-CE</v>
          </cell>
          <cell r="B25" t="str">
            <v xml:space="preserve">FlashDetect™ LyocartE MG&amp;TV&amp;MH Assay </v>
          </cell>
        </row>
        <row r="26">
          <cell r="A26" t="str">
            <v>6018012505-CE</v>
          </cell>
          <cell r="B26" t="str">
            <v xml:space="preserve">FlashDetect™ LyocartE MG&amp;TV&amp;MH Assay </v>
          </cell>
        </row>
        <row r="27">
          <cell r="A27" t="str">
            <v>6018011802-R</v>
          </cell>
          <cell r="B27" t="str">
            <v xml:space="preserve">FlashDetect™ LyocartD CT&amp;NG&amp;UU Assay </v>
          </cell>
        </row>
        <row r="28">
          <cell r="A28" t="str">
            <v>6018011805-R</v>
          </cell>
          <cell r="B28" t="str">
            <v xml:space="preserve">FlashDetect™ LyocartD CT&amp;NG&amp;UU Assay </v>
          </cell>
        </row>
        <row r="29">
          <cell r="A29" t="str">
            <v>6018034202-EN</v>
          </cell>
          <cell r="B29" t="str">
            <v xml:space="preserve">FlashDetect™ LyocartE CT&amp;NG&amp;UU Assay </v>
          </cell>
        </row>
        <row r="30">
          <cell r="A30" t="str">
            <v>6018034205-EN</v>
          </cell>
          <cell r="B30" t="str">
            <v xml:space="preserve">FlashDetect™ LyocartE CT&amp;NG&amp;UU Assay </v>
          </cell>
        </row>
        <row r="31">
          <cell r="A31" t="str">
            <v>6018011802-CE</v>
          </cell>
          <cell r="B31" t="str">
            <v>FlashDetect™ LyocartD NG&amp;UU Assay</v>
          </cell>
        </row>
        <row r="32">
          <cell r="A32" t="str">
            <v>6018011805-CE</v>
          </cell>
          <cell r="B32" t="str">
            <v>FlashDetect™ LyocartD NG&amp;UU Assay</v>
          </cell>
        </row>
        <row r="33">
          <cell r="A33" t="str">
            <v>6018011902-CE</v>
          </cell>
          <cell r="B33" t="str">
            <v>FlashDetect™ LyocartE NG&amp;UU Assay</v>
          </cell>
        </row>
        <row r="34">
          <cell r="A34" t="str">
            <v>6018011905-CE</v>
          </cell>
          <cell r="B34" t="str">
            <v>FlashDetect™ LyocartE NG&amp;UU Assay</v>
          </cell>
        </row>
        <row r="35">
          <cell r="A35" t="str">
            <v>6018012102-CE</v>
          </cell>
          <cell r="B35" t="str">
            <v xml:space="preserve">FlashDetect™ LyocartD HSV-1&amp;HSV-2 Assay </v>
          </cell>
        </row>
        <row r="36">
          <cell r="A36" t="str">
            <v>6018012105-CE</v>
          </cell>
          <cell r="B36" t="str">
            <v xml:space="preserve">FlashDetect™ LyocartD HSV-1&amp;HSV-2 Assay </v>
          </cell>
        </row>
        <row r="37">
          <cell r="A37" t="str">
            <v>6018012202-CE</v>
          </cell>
          <cell r="B37" t="str">
            <v xml:space="preserve">FlashDetect™ LyocartE HSV-1&amp;HSV-2 Assay </v>
          </cell>
        </row>
        <row r="38">
          <cell r="A38" t="str">
            <v>6018012205-CE</v>
          </cell>
          <cell r="B38" t="str">
            <v xml:space="preserve">FlashDetect™ LyocartE HSV-1&amp;HSV-2 Assay </v>
          </cell>
        </row>
        <row r="39">
          <cell r="A39" t="str">
            <v>6018032102-CE</v>
          </cell>
          <cell r="B39" t="str">
            <v>FlashDetect™ LyocartE HSV-1&amp;HSV-2&amp;VZV Assay</v>
          </cell>
        </row>
        <row r="40">
          <cell r="A40" t="str">
            <v>6018032105-CE</v>
          </cell>
          <cell r="B40" t="str">
            <v>FlashDetect™ LyocartE HSV-1&amp;HSV-2&amp;VZV Assay</v>
          </cell>
        </row>
        <row r="41">
          <cell r="A41" t="str">
            <v>6018033202-CE</v>
          </cell>
          <cell r="B41" t="str">
            <v xml:space="preserve">FlashDetect™ LyocartE Dengue virus type I/II Assay </v>
          </cell>
        </row>
        <row r="42">
          <cell r="A42" t="str">
            <v>6018033402-CE</v>
          </cell>
          <cell r="B42" t="str">
            <v>FlashDetect™ LyocartE Dengue virus type III/IV Assay</v>
          </cell>
        </row>
        <row r="43">
          <cell r="A43" t="str">
            <v>6018031802-CE</v>
          </cell>
          <cell r="B43" t="str">
            <v>FlashDetect™ LyocartE SARS-CoV-2&amp;FluA&amp;FluB&amp;RSV Assay</v>
          </cell>
        </row>
        <row r="44">
          <cell r="A44" t="str">
            <v>6018031805-CE</v>
          </cell>
          <cell r="B44" t="str">
            <v>FlashDetect™ LyocartE SARS-CoV-2&amp;FluA&amp;FluB&amp;RSV Assay</v>
          </cell>
        </row>
        <row r="45">
          <cell r="A45" t="str">
            <v>6018020402-CE</v>
          </cell>
          <cell r="B45" t="str">
            <v>FlashDetect™ LyocartE MRSA/SA Assay</v>
          </cell>
        </row>
        <row r="46">
          <cell r="A46" t="str">
            <v>6018020405-CE</v>
          </cell>
          <cell r="B46" t="str">
            <v>FlashDetect™ LyocartE MRSA/SA Assay</v>
          </cell>
        </row>
        <row r="47">
          <cell r="A47" t="str">
            <v>6018026302-CE</v>
          </cell>
          <cell r="B47" t="str">
            <v>FlashDetect™ LyocartE RSV&amp;MP&amp;ADV Assay</v>
          </cell>
        </row>
        <row r="48">
          <cell r="A48" t="str">
            <v>6018026305-CE</v>
          </cell>
          <cell r="B48" t="str">
            <v>FlashDetect™ LyocartE RSV&amp;MP&amp;ADV Assay</v>
          </cell>
        </row>
        <row r="49">
          <cell r="A49" t="str">
            <v>6018021905-CE</v>
          </cell>
          <cell r="B49" t="str">
            <v>FlashDetect™ Lyocart Strep A Assay</v>
          </cell>
        </row>
        <row r="50">
          <cell r="A50" t="str">
            <v>6018027105-CE</v>
          </cell>
          <cell r="B50" t="str">
            <v>FlashDetect™ Lyocart GBS Assay</v>
          </cell>
        </row>
        <row r="51">
          <cell r="A51" t="str">
            <v>6018033002-CE</v>
          </cell>
          <cell r="B51" t="str">
            <v>FlashDetect™ LyocartE Norovirus GI/GII Assay</v>
          </cell>
        </row>
        <row r="52">
          <cell r="A52" t="str">
            <v>6018018605-CE</v>
          </cell>
          <cell r="B52" t="str">
            <v>FlashDetect™ LyocartE EV71 Assay</v>
          </cell>
        </row>
        <row r="53">
          <cell r="A53" t="str">
            <v>6018022502-CE</v>
          </cell>
          <cell r="B53" t="str">
            <v>FlashDetect™ LyocartE Monkeypox Virus Assay</v>
          </cell>
        </row>
        <row r="54">
          <cell r="A54" t="str">
            <v>6018022507-CE</v>
          </cell>
          <cell r="B54" t="str">
            <v xml:space="preserve">FlashDetect™ LyocartE Monkeypox Virus Assay </v>
          </cell>
        </row>
        <row r="55">
          <cell r="A55" t="str">
            <v>6018017717-CE</v>
          </cell>
          <cell r="B55" t="str">
            <v>FlashDetect™ LyocartE Chikungunya Virus Assay (For Serum, EDTA plasma)</v>
          </cell>
        </row>
        <row r="56">
          <cell r="A56" t="str">
            <v>6018025502-EN</v>
          </cell>
          <cell r="B56" t="str">
            <v>FlashDetect™ LyocartD ALDH2 Assay</v>
          </cell>
        </row>
        <row r="57">
          <cell r="A57" t="str">
            <v>6001024702-EN</v>
          </cell>
          <cell r="B57" t="str">
            <v>FlashDetect™ LyocartD MTHFR C677T Assay</v>
          </cell>
        </row>
        <row r="58">
          <cell r="A58" t="str">
            <v>6022001102-EN</v>
          </cell>
          <cell r="B58" t="str">
            <v>FlashDetect™ LyocartD Canine Distemper Virus Assay</v>
          </cell>
        </row>
        <row r="59">
          <cell r="A59" t="str">
            <v>6022001202-EN</v>
          </cell>
          <cell r="B59" t="str">
            <v>FlashDetect™ LyocartE African Swine Fever Virus Assay</v>
          </cell>
        </row>
        <row r="60">
          <cell r="A60" t="str">
            <v>6022001302-EN</v>
          </cell>
          <cell r="B60" t="str">
            <v>FlashDetect™ LyocartD CIA&amp;CADV&amp;CPIV Assay</v>
          </cell>
        </row>
        <row r="61">
          <cell r="A61" t="str">
            <v>6022001402-EN</v>
          </cell>
          <cell r="B61" t="str">
            <v>FlashDetect™ LyocartD FCV&amp;FHV Assay</v>
          </cell>
        </row>
        <row r="62">
          <cell r="A62" t="str">
            <v>6022001502-EN</v>
          </cell>
          <cell r="B62" t="str">
            <v>FlashDetect™ LyocartD Mycof&amp;Chlf&amp;Bobfla Assay</v>
          </cell>
        </row>
        <row r="63">
          <cell r="A63" t="str">
            <v>6022001602-EN</v>
          </cell>
          <cell r="B63" t="str">
            <v xml:space="preserve">FlashDetect™ LyocartE FCoV&amp;FPV Assay </v>
          </cell>
        </row>
        <row r="64">
          <cell r="A64" t="str">
            <v>6022001702-EN</v>
          </cell>
          <cell r="B64" t="str">
            <v xml:space="preserve">FlashDetect™ LyocartE FIPV Assay </v>
          </cell>
        </row>
        <row r="65">
          <cell r="A65" t="str">
            <v>6018023501-CE</v>
          </cell>
          <cell r="B65" t="str">
            <v xml:space="preserve">COYOTE® CCTS™ Universal Transport Medium Collection Kit </v>
          </cell>
        </row>
        <row r="66">
          <cell r="A66" t="str">
            <v>6018023502-CE</v>
          </cell>
          <cell r="B66" t="str">
            <v>COYOTE® CCTS™ Universal Transport Medium Collection Kit (3mL采样管)</v>
          </cell>
        </row>
        <row r="67">
          <cell r="A67" t="str">
            <v>6018023503-CE</v>
          </cell>
          <cell r="B67" t="str">
            <v xml:space="preserve">COYOTE® CCTS™ Universal Transport Medium Collection Kit </v>
          </cell>
        </row>
        <row r="68">
          <cell r="A68" t="str">
            <v>6018023504-CE</v>
          </cell>
          <cell r="B68" t="str">
            <v xml:space="preserve">COYOTE® CCTS™ Universal Transport Medium Collection Kit </v>
          </cell>
        </row>
        <row r="69">
          <cell r="A69" t="str">
            <v>6018023505-CE</v>
          </cell>
          <cell r="B69" t="str">
            <v>COYOTE® CCTS™ Universal Transport Medium Collection Kit (口咽拭子+采样管)</v>
          </cell>
        </row>
        <row r="70">
          <cell r="A70" t="str">
            <v>6018023506-CE</v>
          </cell>
          <cell r="B70" t="str">
            <v xml:space="preserve">COYOTE® CCTS™ Universal Transport Medium Collection Kit </v>
          </cell>
        </row>
        <row r="71">
          <cell r="A71" t="str">
            <v>6018023507-CE</v>
          </cell>
          <cell r="B71" t="str">
            <v xml:space="preserve">COYOTE® CCTS™ Universal Transport Medium Collection Kit </v>
          </cell>
        </row>
        <row r="72">
          <cell r="A72" t="str">
            <v>6018023508-CE</v>
          </cell>
          <cell r="B72" t="str">
            <v>COYOTE® CCTS™ Universal Transport Medium Collection Kit (鼻拭子+采样管)</v>
          </cell>
        </row>
        <row r="73">
          <cell r="A73" t="str">
            <v>6018023509-CE</v>
          </cell>
          <cell r="B73" t="str">
            <v xml:space="preserve">COYOTE® CCTS™ Universal Transport Medium Collection Kit </v>
          </cell>
        </row>
        <row r="74">
          <cell r="A74" t="str">
            <v>6018023510-CE</v>
          </cell>
          <cell r="B74" t="str">
            <v xml:space="preserve">COYOTE® CCTS™ Universal Transport Medium Collection Kit </v>
          </cell>
        </row>
        <row r="75">
          <cell r="A75" t="str">
            <v>6018023511-CE</v>
          </cell>
          <cell r="B75" t="str">
            <v>COYOTE® CCTS™ Universal Transport Medium Collection Kit (鼻咽拭子+采样管)</v>
          </cell>
        </row>
        <row r="76">
          <cell r="A76" t="str">
            <v>6018023512-CE</v>
          </cell>
          <cell r="B76" t="str">
            <v xml:space="preserve">COYOTE® CCTS™ Universal Transport Medium Collection Kit </v>
          </cell>
        </row>
        <row r="77">
          <cell r="A77" t="str">
            <v>6018023513-CE</v>
          </cell>
          <cell r="B77" t="str">
            <v xml:space="preserve">COYOTE® CCTS™ Universal Transport Medium Collection Kit </v>
          </cell>
        </row>
        <row r="78">
          <cell r="A78" t="str">
            <v>6018023514-CE</v>
          </cell>
          <cell r="B78" t="str">
            <v>COYOTE® CCTS™ Universal Transport Medium Collection Kit (生殖道拭子+采样管)</v>
          </cell>
        </row>
        <row r="79">
          <cell r="A79" t="str">
            <v>6018023515-CE</v>
          </cell>
          <cell r="B79" t="str">
            <v>COYOTE® CCTS™ Universal Transport Medium Collection Kit (生殖道拭子+6mL采样管)</v>
          </cell>
        </row>
        <row r="80">
          <cell r="A80" t="str">
            <v>6018023519-CE</v>
          </cell>
          <cell r="B80" t="str">
            <v>COYOTE® CCTS™ Universal Transport Medium Collection Kit （生殖道拭子）</v>
          </cell>
        </row>
        <row r="81">
          <cell r="A81" t="str">
            <v>6018023520-CE</v>
          </cell>
          <cell r="B81" t="str">
            <v>COYOTE® CCTS™ Universal Transport Medium Collection Kit （鼻/鼻咽拭子）</v>
          </cell>
        </row>
        <row r="82">
          <cell r="A82" t="str">
            <v>6018023521-CE</v>
          </cell>
          <cell r="B82" t="str">
            <v>COYOTE® CCTS™ Universal Transport Medium Collection Kit （口咽拭子）</v>
          </cell>
        </row>
        <row r="83">
          <cell r="A83" t="str">
            <v>6018020201-CE</v>
          </cell>
          <cell r="B83" t="str">
            <v>COYOTE® CCTS™ Respiratory Swab Specimen Collection Kit</v>
          </cell>
        </row>
        <row r="84">
          <cell r="A84" t="str">
            <v>6018020202-CE</v>
          </cell>
          <cell r="B84" t="str">
            <v>COYOTE® CCTS™ Respiratory Swab Specimen Collection Kit</v>
          </cell>
        </row>
        <row r="85">
          <cell r="A85" t="str">
            <v>6018020203-CE</v>
          </cell>
          <cell r="B85" t="str">
            <v>COYOTE® CCTS™ Respiratory Swab Specimen Collection Kit</v>
          </cell>
        </row>
        <row r="86">
          <cell r="A86" t="str">
            <v>6018020204-CE</v>
          </cell>
          <cell r="B86" t="str">
            <v>COYOTE® CCTS™ Respiratory Swab Specimen Collection Kit</v>
          </cell>
        </row>
        <row r="87">
          <cell r="A87" t="str">
            <v>6018020205-CE</v>
          </cell>
          <cell r="B87" t="str">
            <v>COYOTE® CCTS™ Respiratory Swab Specimen Collection Kit</v>
          </cell>
        </row>
        <row r="88">
          <cell r="A88" t="str">
            <v>6018020206-CE</v>
          </cell>
          <cell r="B88" t="str">
            <v>COYOTE® CCTS™ Respiratory Swab Specimen Collection Kit</v>
          </cell>
        </row>
        <row r="89">
          <cell r="A89" t="str">
            <v>6018020207-CE</v>
          </cell>
          <cell r="B89" t="str">
            <v>COYOTE® CCTS™ Respiratory Swab Specimen Collection Kit</v>
          </cell>
        </row>
        <row r="90">
          <cell r="A90" t="str">
            <v>6018032401-CE</v>
          </cell>
          <cell r="B90" t="str">
            <v>COYOTE® CCTS™ Microbial Sample Collection Kit</v>
          </cell>
        </row>
        <row r="91">
          <cell r="A91" t="str">
            <v>6018032402-CE</v>
          </cell>
          <cell r="B91" t="str">
            <v>COYOTE® CCTS™ Microbial Sample Collection Kit</v>
          </cell>
        </row>
        <row r="92">
          <cell r="A92" t="str">
            <v>6018032403-CE</v>
          </cell>
          <cell r="B92" t="str">
            <v>COYOTE® CCTS™ Microbial Sample Collection Kit</v>
          </cell>
        </row>
        <row r="93">
          <cell r="A93" t="str">
            <v>6018032404-CE</v>
          </cell>
          <cell r="B93" t="str">
            <v>COYOTE® CCTS™ Microbial Sample Collection Kit</v>
          </cell>
        </row>
        <row r="94">
          <cell r="A94" t="str">
            <v>6018032406-CE</v>
          </cell>
          <cell r="B94" t="str">
            <v>COYOTE® CCTS™ Microbial Sample Collection Kit</v>
          </cell>
        </row>
        <row r="95">
          <cell r="A95" t="str">
            <v>6018032407-CE</v>
          </cell>
          <cell r="B95" t="str">
            <v>COYOTE® CCTS™ Microbial Sample Collection Kit</v>
          </cell>
        </row>
        <row r="96">
          <cell r="A96" t="str">
            <v>6018037401-CE</v>
          </cell>
          <cell r="B96" t="str">
            <v>COYOTE® CCTS™ Sputum Liquefaction Kit</v>
          </cell>
        </row>
        <row r="97">
          <cell r="A97" t="str">
            <v>6018037402-CE</v>
          </cell>
          <cell r="B97" t="str">
            <v>COYOTE® CCTS™ Sputum Liquefaction Kit</v>
          </cell>
        </row>
        <row r="98">
          <cell r="A98" t="str">
            <v>6018031701-CE</v>
          </cell>
          <cell r="B98" t="str">
            <v>Stool Sample Buffer</v>
          </cell>
        </row>
        <row r="99">
          <cell r="A99" t="str">
            <v>6018013905-CE</v>
          </cell>
          <cell r="B99" t="str">
            <v>FlashDetect™ LyocartE MTB Assay</v>
          </cell>
        </row>
        <row r="100">
          <cell r="A100" t="str">
            <v>6018021002-CE</v>
          </cell>
          <cell r="B100" t="str">
            <v>FlashDetect™ Lyocart Carba-R Assay</v>
          </cell>
        </row>
        <row r="101">
          <cell r="A101" t="str">
            <v>6018021005-CE</v>
          </cell>
          <cell r="B101" t="str">
            <v>FlashDetect™ Lyocart Carba-R Assay</v>
          </cell>
        </row>
        <row r="102">
          <cell r="A102" t="str">
            <v>6018013502-CE</v>
          </cell>
          <cell r="B102" t="str">
            <v>FlashDetect™ Lyocart HPV Assay</v>
          </cell>
        </row>
        <row r="103">
          <cell r="A103" t="str">
            <v>6018013505-CE</v>
          </cell>
          <cell r="B103" t="str">
            <v>FlashDetect™ Lyocart HPV Assay</v>
          </cell>
        </row>
        <row r="104">
          <cell r="A104" t="str">
            <v>6018032802-CE</v>
          </cell>
          <cell r="B104" t="str">
            <v>FlashDetect™ LyocartE HMPV/HPIV/HRV Assay</v>
          </cell>
        </row>
        <row r="105">
          <cell r="A105" t="str">
            <v>6018032805-CE</v>
          </cell>
          <cell r="B105" t="str">
            <v>FlashDetect™ LyocartE HMPV/HPIV/HRV Assay</v>
          </cell>
        </row>
        <row r="106">
          <cell r="A106" t="str">
            <v>6018022105-CE</v>
          </cell>
          <cell r="B106" t="str">
            <v>FlashDetect™ Lyocart C. difficile Assay</v>
          </cell>
        </row>
        <row r="107">
          <cell r="A107"/>
          <cell r="B107" t="str">
            <v>FlashDetect™ Lyocart DENV/CHIKV/ZIKV Assay</v>
          </cell>
        </row>
        <row r="108">
          <cell r="A108" t="str">
            <v>6018026201-EN</v>
          </cell>
          <cell r="B108" t="str">
            <v>Bovine Trib</v>
          </cell>
        </row>
        <row r="109">
          <cell r="A109" t="str">
            <v>6018032001-CE</v>
          </cell>
          <cell r="B109" t="str">
            <v>FlashDetect™ SARS-CoV-2&amp;FluA&amp;FluB&amp;RSV External Quality Control</v>
          </cell>
        </row>
        <row r="110">
          <cell r="A110" t="str">
            <v>6018032002-CE</v>
          </cell>
          <cell r="B110" t="str">
            <v>FlashDetect™ SARS-CoV-2&amp;FluA&amp;FluB&amp;RSV External Quality Control</v>
          </cell>
        </row>
        <row r="111">
          <cell r="A111" t="str">
            <v>6018006501-CE</v>
          </cell>
          <cell r="B111" t="str">
            <v>FlashDetect™ SARS-CoV-2 External Quality Control (SPEC.A)</v>
          </cell>
        </row>
        <row r="112">
          <cell r="A112" t="str">
            <v>6018006502-CE</v>
          </cell>
          <cell r="B112" t="str">
            <v>FlashDetect™ SARS-CoV-2 External Quality Control (SPEC.B)</v>
          </cell>
        </row>
        <row r="113">
          <cell r="A113" t="str">
            <v>6018006901-CE</v>
          </cell>
          <cell r="B113" t="str">
            <v>FlashDetect™ SARS-CoV-2&amp;FluA&amp;FluB External Quality Control (SPEC.A)</v>
          </cell>
        </row>
        <row r="114">
          <cell r="A114" t="str">
            <v>6018006902-CE</v>
          </cell>
          <cell r="B114" t="str">
            <v>FlashDetect™ SARS-CoV-2&amp;FluA&amp;FluB External Quality Control (SPEC.B)</v>
          </cell>
        </row>
        <row r="115">
          <cell r="A115" t="str">
            <v>6018010301-CE</v>
          </cell>
          <cell r="B115" t="str">
            <v>FlashDetect™ MG&amp;TV&amp;MH External Quality Control (SPEC. A)</v>
          </cell>
        </row>
        <row r="116">
          <cell r="A116" t="str">
            <v>6018010302-CE</v>
          </cell>
          <cell r="B116" t="str">
            <v>FlashDetect™ MG&amp;TV&amp;MH External Quality Control (SPEC. B)</v>
          </cell>
        </row>
        <row r="117">
          <cell r="A117" t="str">
            <v>6018022701-CE</v>
          </cell>
          <cell r="B117" t="str">
            <v>FlashDetect™ Monkeypox virus External Quality Control (SPEC. A)</v>
          </cell>
        </row>
        <row r="118">
          <cell r="A118" t="str">
            <v>6018022702-CE</v>
          </cell>
          <cell r="B118" t="str">
            <v>FlashDetect™ Monkeypox virus External Quality Control (SPEC. B)</v>
          </cell>
        </row>
        <row r="119">
          <cell r="A119" t="str">
            <v>6018033301-CE</v>
          </cell>
          <cell r="B119" t="str">
            <v>FlashDetect™ Dengue virus type I/II External Quality Control</v>
          </cell>
        </row>
        <row r="120">
          <cell r="A120" t="str">
            <v>6018033501-CE</v>
          </cell>
          <cell r="B120" t="str">
            <v>FlashDetect™Dengue virus type III/IV External Quality Control</v>
          </cell>
        </row>
        <row r="121">
          <cell r="A121" t="str">
            <v>6018018802-CE</v>
          </cell>
          <cell r="B121" t="str">
            <v>FlashDetect™Enterovirus 71 External Quality Control (SPEC. B)</v>
          </cell>
        </row>
        <row r="122">
          <cell r="A122" t="str">
            <v>6018013905-EN</v>
          </cell>
          <cell r="B122" t="str">
            <v>FlashDetectTM LyocartE MTB Assay</v>
          </cell>
        </row>
        <row r="123">
          <cell r="A123" t="str">
            <v>6018037401-EN</v>
          </cell>
          <cell r="B123" t="str">
            <v>Sputum Liquefaction Kit</v>
          </cell>
        </row>
        <row r="124">
          <cell r="A124" t="str">
            <v>6018032401-EN</v>
          </cell>
          <cell r="B124" t="str">
            <v>COYOTE® CCTS™ Tongue Swab Specimen Collection Kit</v>
          </cell>
        </row>
        <row r="125">
          <cell r="A125">
            <v>2001004401</v>
          </cell>
          <cell r="B125" t="str">
            <v>单模块（美标）超薄金属浴</v>
          </cell>
        </row>
        <row r="126">
          <cell r="A126">
            <v>2001004601</v>
          </cell>
          <cell r="B126" t="str">
            <v>双模块（美标）超薄金属浴</v>
          </cell>
        </row>
        <row r="127">
          <cell r="A127">
            <v>2001004501</v>
          </cell>
          <cell r="B127" t="str">
            <v>单模块（国欧英）超薄金属浴</v>
          </cell>
        </row>
        <row r="128">
          <cell r="A128">
            <v>2001004701</v>
          </cell>
          <cell r="B128" t="str">
            <v>双模块（国欧英）超薄金属浴</v>
          </cell>
        </row>
        <row r="129">
          <cell r="A129">
            <v>3112006801</v>
          </cell>
          <cell r="B129" t="str">
            <v>Thermo 0.2ml 金属浴模块</v>
          </cell>
        </row>
        <row r="130">
          <cell r="A130">
            <v>3112006901</v>
          </cell>
          <cell r="B130" t="str">
            <v>Thermo 0.5ml 金属浴模块</v>
          </cell>
        </row>
        <row r="131">
          <cell r="A131">
            <v>3112007001</v>
          </cell>
          <cell r="B131" t="str">
            <v>Thermo 1.5ml 金属浴模块</v>
          </cell>
        </row>
        <row r="132">
          <cell r="A132">
            <v>3112007101</v>
          </cell>
          <cell r="B132" t="str">
            <v>Thermo 2.0ml 金属浴模块</v>
          </cell>
        </row>
        <row r="133">
          <cell r="A133">
            <v>3112007201</v>
          </cell>
          <cell r="B133" t="str">
            <v>Thermo 15ml 金属浴模块</v>
          </cell>
        </row>
        <row r="134">
          <cell r="A134">
            <v>3112007301</v>
          </cell>
          <cell r="B134" t="str">
            <v>Thermo 50ml 金属浴模块</v>
          </cell>
        </row>
        <row r="135">
          <cell r="A135">
            <v>3112007401</v>
          </cell>
          <cell r="B135" t="str">
            <v>Thermo 96孔金属浴模块</v>
          </cell>
        </row>
        <row r="136">
          <cell r="A136">
            <v>3116002501</v>
          </cell>
          <cell r="B136" t="str">
            <v>单模块超薄金属浴保温棉外套</v>
          </cell>
        </row>
        <row r="137">
          <cell r="A137">
            <v>3116002601</v>
          </cell>
          <cell r="B137" t="str">
            <v>双模块超薄金属浴保温棉外套</v>
          </cell>
        </row>
        <row r="138">
          <cell r="A138">
            <v>3105003101</v>
          </cell>
          <cell r="B138" t="str">
            <v>CBJSY-盒盖-单</v>
          </cell>
        </row>
        <row r="139">
          <cell r="A139">
            <v>3105003501</v>
          </cell>
          <cell r="B139" t="str">
            <v>CBJSY-盒盖-双</v>
          </cell>
        </row>
        <row r="140">
          <cell r="A140">
            <v>3105004301</v>
          </cell>
          <cell r="B140" t="str">
            <v>亚速旺 蓝色塑料研磨棒 （50根一包）</v>
          </cell>
        </row>
        <row r="141">
          <cell r="A141" t="str">
            <v>0101000462</v>
          </cell>
          <cell r="B141" t="str">
            <v>Gentier 48E</v>
          </cell>
        </row>
        <row r="142">
          <cell r="A142" t="str">
            <v>0102019801</v>
          </cell>
          <cell r="B142" t="str">
            <v>Min centrifuge</v>
          </cell>
        </row>
        <row r="143">
          <cell r="A143">
            <v>2203028801</v>
          </cell>
          <cell r="B143" t="str">
            <v>High Speed and Sensitivity Module （6 channel）</v>
          </cell>
        </row>
        <row r="144">
          <cell r="A144">
            <v>2203026901</v>
          </cell>
          <cell r="B144" t="str">
            <v>High Speed and Sensitivity Module</v>
          </cell>
        </row>
        <row r="145">
          <cell r="A145">
            <v>4012000501</v>
          </cell>
          <cell r="B145" t="str">
            <v>Flash10 Power Module Component</v>
          </cell>
        </row>
        <row r="146">
          <cell r="A146">
            <v>4008015801</v>
          </cell>
          <cell r="B146" t="str">
            <v>Flash10 Computer Component</v>
          </cell>
        </row>
        <row r="147">
          <cell r="A147">
            <v>4020001001</v>
          </cell>
          <cell r="B147" t="str">
            <v>Flash10 Screen Component</v>
          </cell>
        </row>
        <row r="148">
          <cell r="A148">
            <v>2203018201</v>
          </cell>
          <cell r="B148" t="str">
            <v>Fuse</v>
          </cell>
        </row>
        <row r="149">
          <cell r="A149" t="str">
            <v>4017001501</v>
          </cell>
          <cell r="B149" t="str">
            <v>Flash10 Back Cover Cooling Fan</v>
          </cell>
        </row>
        <row r="150">
          <cell r="A150">
            <v>4017002901</v>
          </cell>
          <cell r="B150" t="str">
            <v>Flash10 Electric Control Box Cooling Fan</v>
          </cell>
        </row>
        <row r="151">
          <cell r="A151">
            <v>3105024001</v>
          </cell>
          <cell r="B151" t="str">
            <v>Flash10 Front Cover</v>
          </cell>
        </row>
        <row r="152">
          <cell r="A152">
            <v>3105024301</v>
          </cell>
          <cell r="B152" t="str">
            <v>Flash10 Back Cover</v>
          </cell>
        </row>
        <row r="153">
          <cell r="A153">
            <v>2006000701</v>
          </cell>
          <cell r="B153" t="str">
            <v>Thermal Calibration Tooling</v>
          </cell>
        </row>
        <row r="154">
          <cell r="A154">
            <v>4403011402</v>
          </cell>
          <cell r="B154" t="str">
            <v>Motor Calibration Tooling (M1 &amp;M2)</v>
          </cell>
        </row>
        <row r="155">
          <cell r="A155">
            <v>4403012101</v>
          </cell>
          <cell r="B155" t="str">
            <v>Motor Calibration Tooling (M3)</v>
          </cell>
        </row>
        <row r="156">
          <cell r="A156">
            <v>2212000201</v>
          </cell>
          <cell r="B156" t="str">
            <v>M1 motor and supporting components</v>
          </cell>
        </row>
        <row r="157">
          <cell r="A157">
            <v>4015009001</v>
          </cell>
          <cell r="B157" t="str">
            <v>Power Filter</v>
          </cell>
        </row>
        <row r="158">
          <cell r="A158">
            <v>4201018401</v>
          </cell>
          <cell r="B158" t="str">
            <v>USB Interface Board</v>
          </cell>
        </row>
        <row r="159">
          <cell r="A159"/>
          <cell r="B159"/>
        </row>
        <row r="160">
          <cell r="A160"/>
          <cell r="B160"/>
        </row>
        <row r="161">
          <cell r="A161"/>
          <cell r="B161"/>
        </row>
        <row r="162">
          <cell r="A162"/>
          <cell r="B162"/>
        </row>
        <row r="163">
          <cell r="A163"/>
          <cell r="B163"/>
        </row>
        <row r="164">
          <cell r="A164"/>
          <cell r="B164"/>
        </row>
        <row r="165">
          <cell r="A165"/>
          <cell r="B165"/>
        </row>
        <row r="166">
          <cell r="A166"/>
          <cell r="B166"/>
        </row>
        <row r="167">
          <cell r="A167"/>
          <cell r="B167"/>
        </row>
        <row r="168">
          <cell r="A168"/>
          <cell r="B168"/>
        </row>
        <row r="169">
          <cell r="A169"/>
          <cell r="B169"/>
        </row>
        <row r="170">
          <cell r="A170"/>
          <cell r="B170"/>
        </row>
        <row r="171">
          <cell r="A171"/>
          <cell r="B171"/>
        </row>
        <row r="172">
          <cell r="A172"/>
          <cell r="B172"/>
        </row>
        <row r="173">
          <cell r="A173"/>
          <cell r="B173"/>
        </row>
        <row r="174">
          <cell r="A174"/>
          <cell r="B174"/>
        </row>
        <row r="175">
          <cell r="A175"/>
          <cell r="B175"/>
        </row>
        <row r="176">
          <cell r="A176"/>
          <cell r="B176"/>
        </row>
        <row r="177">
          <cell r="A177"/>
          <cell r="B177"/>
        </row>
        <row r="178">
          <cell r="A178"/>
          <cell r="B178"/>
        </row>
        <row r="179">
          <cell r="A179"/>
          <cell r="B179"/>
        </row>
        <row r="180">
          <cell r="A180"/>
          <cell r="B180"/>
        </row>
        <row r="181">
          <cell r="A181"/>
          <cell r="B181"/>
        </row>
        <row r="182">
          <cell r="A182"/>
          <cell r="B182"/>
        </row>
        <row r="183">
          <cell r="A183"/>
          <cell r="B183"/>
        </row>
        <row r="184">
          <cell r="A184"/>
          <cell r="B184"/>
        </row>
        <row r="185">
          <cell r="A185"/>
          <cell r="B185"/>
        </row>
        <row r="186">
          <cell r="A186"/>
          <cell r="B186"/>
        </row>
        <row r="187">
          <cell r="A187"/>
          <cell r="B187"/>
        </row>
        <row r="188">
          <cell r="A188"/>
          <cell r="B188"/>
        </row>
        <row r="189">
          <cell r="A189"/>
          <cell r="B189"/>
        </row>
        <row r="190">
          <cell r="A190"/>
          <cell r="B190"/>
        </row>
        <row r="191">
          <cell r="A191"/>
          <cell r="B191"/>
        </row>
        <row r="192">
          <cell r="A192"/>
          <cell r="B192"/>
        </row>
        <row r="193">
          <cell r="A193"/>
          <cell r="B193"/>
        </row>
        <row r="194">
          <cell r="A194"/>
          <cell r="B194"/>
        </row>
        <row r="195">
          <cell r="A195"/>
          <cell r="B195"/>
        </row>
        <row r="196">
          <cell r="A196"/>
          <cell r="B196"/>
        </row>
        <row r="197">
          <cell r="A197"/>
          <cell r="B197"/>
        </row>
        <row r="198">
          <cell r="A198"/>
          <cell r="B198"/>
        </row>
        <row r="199">
          <cell r="A199"/>
          <cell r="B199"/>
        </row>
        <row r="200">
          <cell r="A200"/>
          <cell r="B200"/>
        </row>
        <row r="201">
          <cell r="A201"/>
          <cell r="B201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ustomers"/>
      <sheetName val="Products"/>
      <sheetName val="LIST"/>
      <sheetName val="Orders"/>
      <sheetName val="OrderItem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Monthly Totals"/>
    </sheetNames>
    <sheetDataSet>
      <sheetData sheetId="0"/>
      <sheetData sheetId="1"/>
      <sheetData sheetId="2"/>
      <sheetData sheetId="3">
        <row r="1">
          <cell r="D1" t="str">
            <v>Cat. No. #</v>
          </cell>
          <cell r="E1" t="str">
            <v>Description</v>
          </cell>
          <cell r="F1" t="str">
            <v>Specification</v>
          </cell>
          <cell r="G1" t="str">
            <v>Compatible Instrument</v>
          </cell>
          <cell r="H1" t="str">
            <v>IVD/RUO</v>
          </cell>
          <cell r="I1" t="str">
            <v>IVDR classification</v>
          </cell>
          <cell r="J1" t="str">
            <v>Price /Test</v>
          </cell>
          <cell r="K1" t="str">
            <v>Price/</v>
          </cell>
        </row>
        <row r="2">
          <cell r="D2" t="str">
            <v>6018022105-CE</v>
          </cell>
          <cell r="E2" t="str">
            <v>FlashDetect™ Lyocart C. difficile Assay</v>
          </cell>
          <cell r="F2" t="str">
            <v>SPEC.B, 24 tests/kit</v>
          </cell>
          <cell r="G2" t="str">
            <v>Flash10/Nano</v>
          </cell>
          <cell r="H2" t="str">
            <v>CE-IVD</v>
          </cell>
          <cell r="I2" t="str">
            <v>Class B</v>
          </cell>
          <cell r="J2">
            <v>10</v>
          </cell>
          <cell r="K2">
            <v>240</v>
          </cell>
        </row>
        <row r="3">
          <cell r="D3" t="str">
            <v>6018013502-CE</v>
          </cell>
          <cell r="E3" t="str">
            <v>FlashDetect™ Lyocart HPV Assay</v>
          </cell>
          <cell r="F3" t="str">
            <v>SPEC.A, 24 tests/kit</v>
          </cell>
          <cell r="G3" t="str">
            <v>Flash10</v>
          </cell>
          <cell r="H3" t="str">
            <v>CE-IVD</v>
          </cell>
          <cell r="I3" t="str">
            <v>Class B</v>
          </cell>
          <cell r="J3">
            <v>10</v>
          </cell>
          <cell r="K3">
            <v>240</v>
          </cell>
        </row>
        <row r="4">
          <cell r="D4" t="str">
            <v>6018013505-CE</v>
          </cell>
          <cell r="E4" t="str">
            <v>FlashDetect™ Lyocart HPV Assay</v>
          </cell>
          <cell r="F4" t="str">
            <v>SPEC.B, 24 tests/kit</v>
          </cell>
          <cell r="G4" t="str">
            <v>Flash10</v>
          </cell>
          <cell r="H4" t="str">
            <v>CE-IVD</v>
          </cell>
          <cell r="I4" t="str">
            <v>Class B</v>
          </cell>
          <cell r="J4">
            <v>10</v>
          </cell>
          <cell r="K4">
            <v>240</v>
          </cell>
        </row>
        <row r="5">
          <cell r="D5" t="str">
            <v>6018021005-CE</v>
          </cell>
          <cell r="E5" t="str">
            <v>FlashDetect™ Lyocart Carba-R Assay</v>
          </cell>
          <cell r="F5" t="str">
            <v>SPEC.B, 24 tests/kit</v>
          </cell>
          <cell r="G5" t="str">
            <v>Flash10</v>
          </cell>
          <cell r="H5" t="str">
            <v>CE-IVD</v>
          </cell>
          <cell r="I5" t="str">
            <v>Class B</v>
          </cell>
          <cell r="J5">
            <v>11</v>
          </cell>
          <cell r="K5">
            <v>264</v>
          </cell>
        </row>
        <row r="6">
          <cell r="D6" t="str">
            <v>6018032402-CE</v>
          </cell>
          <cell r="E6" t="str">
            <v xml:space="preserve">COYOTE® CCTS™ Microbial Sample Collection   </v>
          </cell>
          <cell r="F6" t="str">
            <v>25 pcs/box</v>
          </cell>
          <cell r="G6" t="str">
            <v>Microbial Sample Collection Kit (Sample preservation buffer)</v>
          </cell>
          <cell r="H6" t="str">
            <v>CE/IVD</v>
          </cell>
          <cell r="I6" t="str">
            <v>Class A</v>
          </cell>
          <cell r="J6" t="str">
            <v>FOC</v>
          </cell>
          <cell r="K6" t="str">
            <v>FOC</v>
          </cell>
        </row>
        <row r="7">
          <cell r="D7" t="str">
            <v>6018032406-CE</v>
          </cell>
          <cell r="E7" t="str">
            <v xml:space="preserve">COYOTE® CCTS™  Microbial Sample Collection </v>
          </cell>
          <cell r="F7" t="str">
            <v>25 pcs/box</v>
          </cell>
          <cell r="G7" t="str">
            <v>Sample preservation buffer</v>
          </cell>
          <cell r="H7" t="str">
            <v>CE/IVD</v>
          </cell>
          <cell r="I7" t="str">
            <v>Class A</v>
          </cell>
          <cell r="J7" t="str">
            <v>FOC</v>
          </cell>
          <cell r="K7" t="str">
            <v>FOC</v>
          </cell>
        </row>
        <row r="8">
          <cell r="D8" t="str">
            <v>6018032407-CE</v>
          </cell>
          <cell r="E8" t="str">
            <v xml:space="preserve">COYOTE® CCTS™  Microbial Sample Collection </v>
          </cell>
          <cell r="F8" t="str">
            <v>100 pcs/box</v>
          </cell>
          <cell r="G8" t="str">
            <v>Sample preservation buffer</v>
          </cell>
          <cell r="H8" t="str">
            <v>CE/IVD</v>
          </cell>
          <cell r="I8" t="str">
            <v>Class A</v>
          </cell>
          <cell r="J8" t="str">
            <v>FOC</v>
          </cell>
          <cell r="K8" t="str">
            <v>FOC</v>
          </cell>
        </row>
        <row r="9">
          <cell r="D9" t="str">
            <v>6018017717-CE</v>
          </cell>
          <cell r="E9" t="str">
            <v>FlashDetect™ LyocartE Chikungunya Virus Assay ( for serum and EDTA plasma )</v>
          </cell>
          <cell r="F9" t="str">
            <v>SPEC.B, 24 tests/kit</v>
          </cell>
          <cell r="G9" t="str">
            <v>Flash10/Nano</v>
          </cell>
          <cell r="H9" t="str">
            <v>CE-IVD</v>
          </cell>
          <cell r="I9" t="str">
            <v>Class C</v>
          </cell>
          <cell r="J9">
            <v>8</v>
          </cell>
          <cell r="K9">
            <v>192</v>
          </cell>
        </row>
        <row r="10">
          <cell r="D10">
            <v>2004009001</v>
          </cell>
          <cell r="E10" t="str">
            <v>FlashDetect™ Flash10  System</v>
          </cell>
          <cell r="F10" t="str">
            <v>EU Plug</v>
          </cell>
          <cell r="G10" t="str">
            <v>N/A</v>
          </cell>
          <cell r="H10" t="str">
            <v>CE-IVDR</v>
          </cell>
          <cell r="I10" t="str">
            <v>Class A</v>
          </cell>
          <cell r="J10">
            <v>14000</v>
          </cell>
          <cell r="K10">
            <v>14000</v>
          </cell>
        </row>
        <row r="11">
          <cell r="D11">
            <v>2004009202</v>
          </cell>
          <cell r="E11" t="str">
            <v>FlashDetect™ Nano System</v>
          </cell>
          <cell r="F11" t="str">
            <v>EU Plug</v>
          </cell>
          <cell r="G11" t="str">
            <v>N/A</v>
          </cell>
          <cell r="H11" t="str">
            <v>CE-IVDR</v>
          </cell>
          <cell r="I11" t="str">
            <v>Class A</v>
          </cell>
          <cell r="J11">
            <v>7000</v>
          </cell>
          <cell r="K11">
            <v>7000</v>
          </cell>
        </row>
        <row r="12">
          <cell r="D12">
            <v>8020009</v>
          </cell>
          <cell r="E12" t="str">
            <v>Sample Preparation System</v>
          </cell>
          <cell r="F12" t="str">
            <v>EU Plug</v>
          </cell>
          <cell r="G12" t="str">
            <v>N/A</v>
          </cell>
          <cell r="H12" t="str">
            <v>RUO</v>
          </cell>
          <cell r="I12" t="str">
            <v>Class A</v>
          </cell>
          <cell r="J12">
            <v>2000</v>
          </cell>
          <cell r="K12">
            <v>2000</v>
          </cell>
        </row>
        <row r="13">
          <cell r="D13" t="str">
            <v>6018006402-CE</v>
          </cell>
          <cell r="E13" t="str">
            <v>FlashDetect™ LyocartD SARS-CoV-2 Assay</v>
          </cell>
          <cell r="F13" t="str">
            <v>SPEC.A, 24 tests/kit</v>
          </cell>
          <cell r="G13" t="str">
            <v>Flash20/10/Nano</v>
          </cell>
          <cell r="H13" t="str">
            <v>CE-IVD</v>
          </cell>
          <cell r="I13" t="str">
            <v>Class B</v>
          </cell>
          <cell r="J13">
            <v>8</v>
          </cell>
          <cell r="K13">
            <v>192</v>
          </cell>
        </row>
        <row r="14">
          <cell r="D14" t="str">
            <v>6018006405-CE</v>
          </cell>
          <cell r="E14" t="str">
            <v>FlashDetect™ LyocartD SARS-CoV-2 Assay</v>
          </cell>
          <cell r="F14" t="str">
            <v>SPEC.B, 24 tests/kit</v>
          </cell>
          <cell r="G14" t="str">
            <v>Flash20/10/Nano</v>
          </cell>
          <cell r="H14" t="str">
            <v>CE-IVD</v>
          </cell>
          <cell r="I14" t="str">
            <v>Class B</v>
          </cell>
          <cell r="J14">
            <v>8</v>
          </cell>
          <cell r="K14">
            <v>192</v>
          </cell>
        </row>
        <row r="15">
          <cell r="D15" t="str">
            <v>6018007102-CE</v>
          </cell>
          <cell r="E15" t="str">
            <v>FlashDetect™ LyocartE SARS-CoV-2 Assay</v>
          </cell>
          <cell r="F15" t="str">
            <v>SPEC.A, 24 tests/kit</v>
          </cell>
          <cell r="G15" t="str">
            <v>Flash 10/Nano</v>
          </cell>
          <cell r="H15" t="str">
            <v>CE-IVD</v>
          </cell>
          <cell r="I15" t="str">
            <v>Class B</v>
          </cell>
          <cell r="J15">
            <v>8</v>
          </cell>
          <cell r="K15">
            <v>192</v>
          </cell>
        </row>
        <row r="16">
          <cell r="D16" t="str">
            <v>6018007105-CE</v>
          </cell>
          <cell r="E16" t="str">
            <v>FlashDetect™ LyocartE SARS-CoV-2 Assay</v>
          </cell>
          <cell r="F16" t="str">
            <v>SPEC.B, 24 tests/kit</v>
          </cell>
          <cell r="G16" t="str">
            <v>Flash 10/Nano</v>
          </cell>
          <cell r="H16" t="str">
            <v>CE-IVD</v>
          </cell>
          <cell r="I16" t="str">
            <v>Class B</v>
          </cell>
          <cell r="J16">
            <v>8</v>
          </cell>
          <cell r="K16">
            <v>192</v>
          </cell>
        </row>
        <row r="17">
          <cell r="D17" t="str">
            <v>6018006802-CE</v>
          </cell>
          <cell r="E17" t="str">
            <v>FlashDetect™ LyocartD SARS-CoV-2&amp;Flu A&amp;Flu B Assay</v>
          </cell>
          <cell r="F17" t="str">
            <v>SPEC.A, 24 tests/kit</v>
          </cell>
          <cell r="G17" t="str">
            <v>Flash20/10/Nano</v>
          </cell>
          <cell r="H17" t="str">
            <v>CE-IVD</v>
          </cell>
          <cell r="I17" t="str">
            <v>Class B</v>
          </cell>
          <cell r="J17">
            <v>10</v>
          </cell>
          <cell r="K17">
            <v>240</v>
          </cell>
        </row>
        <row r="18">
          <cell r="D18" t="str">
            <v>6018006805-CE</v>
          </cell>
          <cell r="E18" t="str">
            <v>FlashDetect™ LyocartD SARS-CoV-2&amp;Flu A&amp;Flu B Assay</v>
          </cell>
          <cell r="F18" t="str">
            <v>SPEC.B, 24 tests/kit</v>
          </cell>
          <cell r="G18" t="str">
            <v>Flash20/10/Nano</v>
          </cell>
          <cell r="H18" t="str">
            <v>CE-IVD</v>
          </cell>
          <cell r="I18" t="str">
            <v>Class B</v>
          </cell>
          <cell r="J18">
            <v>10</v>
          </cell>
          <cell r="K18">
            <v>240</v>
          </cell>
        </row>
        <row r="19">
          <cell r="D19" t="str">
            <v>6018007202-CE</v>
          </cell>
          <cell r="E19" t="str">
            <v>FlashDetect™ LyocartE SARS-CoV-2&amp;Flu A&amp;Flu B Assay</v>
          </cell>
          <cell r="F19" t="str">
            <v>SPEC.A, 24 tests/kit</v>
          </cell>
          <cell r="G19" t="str">
            <v>Flash 10/Nano</v>
          </cell>
          <cell r="H19" t="str">
            <v>CE-IVD</v>
          </cell>
          <cell r="I19" t="str">
            <v>Class B</v>
          </cell>
          <cell r="J19">
            <v>10</v>
          </cell>
          <cell r="K19">
            <v>240</v>
          </cell>
        </row>
        <row r="20">
          <cell r="D20" t="str">
            <v>6018007205-CE</v>
          </cell>
          <cell r="E20" t="str">
            <v>FlashDetect™ LyocartE SARS-CoV-2&amp;Flu A&amp;Flu B Assay</v>
          </cell>
          <cell r="F20" t="str">
            <v>SPEC.B, 24 tests/kit</v>
          </cell>
          <cell r="G20" t="str">
            <v>Flash 10/Nano</v>
          </cell>
          <cell r="H20" t="str">
            <v>CE-IVD</v>
          </cell>
          <cell r="I20" t="str">
            <v>Class B</v>
          </cell>
          <cell r="J20">
            <v>10</v>
          </cell>
          <cell r="K20">
            <v>240</v>
          </cell>
        </row>
        <row r="21">
          <cell r="D21" t="str">
            <v>6018011502-CE</v>
          </cell>
          <cell r="E21" t="str">
            <v>FlashDetect™ LyocartD FluA&amp;FluB&amp;RSV Assay</v>
          </cell>
          <cell r="F21" t="str">
            <v>SPEC.A, 24 tests/kit</v>
          </cell>
          <cell r="G21" t="str">
            <v>Flash20/10/Nano</v>
          </cell>
          <cell r="H21" t="str">
            <v>CE-IVD</v>
          </cell>
          <cell r="I21" t="str">
            <v>Class B</v>
          </cell>
          <cell r="J21">
            <v>10</v>
          </cell>
          <cell r="K21">
            <v>240</v>
          </cell>
        </row>
        <row r="22">
          <cell r="D22" t="str">
            <v>6018011505-CE</v>
          </cell>
          <cell r="E22" t="str">
            <v>FlashDetect™ LyocartD FluA&amp;FluB&amp;RSV Assay</v>
          </cell>
          <cell r="F22" t="str">
            <v>SPEC.B, 24 tests/kit</v>
          </cell>
          <cell r="G22" t="str">
            <v>Flash20/10/Nano</v>
          </cell>
          <cell r="H22" t="str">
            <v>CE-IVD</v>
          </cell>
          <cell r="I22" t="str">
            <v>Class B</v>
          </cell>
          <cell r="J22">
            <v>10</v>
          </cell>
          <cell r="K22">
            <v>240</v>
          </cell>
        </row>
        <row r="23">
          <cell r="D23" t="str">
            <v>6018011602-CE</v>
          </cell>
          <cell r="E23" t="str">
            <v>FlashDetect™ LyocartE FluA&amp;FluB&amp;RSV Assay</v>
          </cell>
          <cell r="F23" t="str">
            <v>SPEC.A, 24 tests/kit</v>
          </cell>
          <cell r="G23" t="str">
            <v>Flash 10/Nano</v>
          </cell>
          <cell r="H23" t="str">
            <v>CE-IVD</v>
          </cell>
          <cell r="I23" t="str">
            <v>Class B</v>
          </cell>
          <cell r="J23">
            <v>10</v>
          </cell>
          <cell r="K23">
            <v>240</v>
          </cell>
        </row>
        <row r="24">
          <cell r="D24" t="str">
            <v>6018011605-CE</v>
          </cell>
          <cell r="E24" t="str">
            <v>FlashDetect™ LyocartE FluA&amp;FluB&amp;RSV Assay</v>
          </cell>
          <cell r="F24" t="str">
            <v>SPEC.B, 24 tests/kit</v>
          </cell>
          <cell r="G24" t="str">
            <v>Flash 10/Nano</v>
          </cell>
          <cell r="H24" t="str">
            <v>CE-IVD</v>
          </cell>
          <cell r="I24" t="str">
            <v>Class B</v>
          </cell>
          <cell r="J24">
            <v>10</v>
          </cell>
          <cell r="K24">
            <v>240</v>
          </cell>
        </row>
        <row r="25">
          <cell r="D25" t="str">
            <v>6018012302-CE</v>
          </cell>
          <cell r="E25" t="str">
            <v>FlashDetect™ LyocartD MG&amp;TV&amp;MH Assay</v>
          </cell>
          <cell r="F25" t="str">
            <v>SPEC.A, 24 tests/kit</v>
          </cell>
          <cell r="G25" t="str">
            <v>Flash20/10/Nano</v>
          </cell>
          <cell r="H25" t="str">
            <v>CE-IVD</v>
          </cell>
          <cell r="I25" t="str">
            <v>Class C</v>
          </cell>
          <cell r="J25">
            <v>10</v>
          </cell>
          <cell r="K25">
            <v>240</v>
          </cell>
        </row>
        <row r="26">
          <cell r="D26" t="str">
            <v>6018012305-CE</v>
          </cell>
          <cell r="E26" t="str">
            <v>FlashDetect™ LyocartD MG&amp;TV&amp;MH Assay</v>
          </cell>
          <cell r="F26" t="str">
            <v>SPEC.B, 24 tests/kit</v>
          </cell>
          <cell r="G26" t="str">
            <v>Flash20/10/Nano</v>
          </cell>
          <cell r="H26" t="str">
            <v>CE-IVD</v>
          </cell>
          <cell r="I26" t="str">
            <v>Class C</v>
          </cell>
          <cell r="J26">
            <v>10</v>
          </cell>
          <cell r="K26">
            <v>240</v>
          </cell>
        </row>
        <row r="27">
          <cell r="D27" t="str">
            <v>6018012502-CE</v>
          </cell>
          <cell r="E27" t="str">
            <v>FlashDetect™ LyocartE MG&amp;TV&amp;MH Assay</v>
          </cell>
          <cell r="F27" t="str">
            <v>SPEC.A, 24 tests/kit</v>
          </cell>
          <cell r="G27" t="str">
            <v>Flash10/Nano</v>
          </cell>
          <cell r="H27" t="str">
            <v>CE-IVD</v>
          </cell>
          <cell r="I27" t="str">
            <v>Class C</v>
          </cell>
          <cell r="J27">
            <v>10</v>
          </cell>
          <cell r="K27">
            <v>240</v>
          </cell>
        </row>
        <row r="28">
          <cell r="D28" t="str">
            <v>6018012505-CE</v>
          </cell>
          <cell r="E28" t="str">
            <v>FlashDetect™ LyocartE MG&amp;TV&amp;MH Assay</v>
          </cell>
          <cell r="F28" t="str">
            <v>SPEC.B, 24 tests/kit</v>
          </cell>
          <cell r="G28" t="str">
            <v>Flash10/Nano</v>
          </cell>
          <cell r="H28" t="str">
            <v>CE-IVD</v>
          </cell>
          <cell r="I28" t="str">
            <v>Class C</v>
          </cell>
          <cell r="J28">
            <v>10</v>
          </cell>
          <cell r="K28">
            <v>240</v>
          </cell>
        </row>
        <row r="29">
          <cell r="D29" t="str">
            <v>6018011802-R</v>
          </cell>
          <cell r="E29" t="str">
            <v>FlashDetect™ LyocartD CT&amp;NG&amp;UU Assay</v>
          </cell>
          <cell r="F29" t="str">
            <v>SPEC.A, 24 tests/kit</v>
          </cell>
          <cell r="G29" t="str">
            <v>Flash20/10/Nano</v>
          </cell>
          <cell r="H29" t="str">
            <v>RUO</v>
          </cell>
          <cell r="I29" t="str">
            <v>Class C</v>
          </cell>
          <cell r="J29">
            <v>10</v>
          </cell>
          <cell r="K29">
            <v>240</v>
          </cell>
        </row>
        <row r="30">
          <cell r="D30" t="str">
            <v>6018011805-R</v>
          </cell>
          <cell r="E30" t="str">
            <v>FlashDetect™ LyocartD CT&amp;NG&amp;UU Assay</v>
          </cell>
          <cell r="F30" t="str">
            <v>SPEC.B, 24 tests/kit</v>
          </cell>
          <cell r="G30" t="str">
            <v>Flash20/10/Nano</v>
          </cell>
          <cell r="H30" t="str">
            <v>RUO</v>
          </cell>
          <cell r="I30" t="str">
            <v>Class C</v>
          </cell>
          <cell r="J30">
            <v>10</v>
          </cell>
          <cell r="K30">
            <v>240</v>
          </cell>
        </row>
        <row r="31">
          <cell r="D31" t="str">
            <v>6018034202-EN</v>
          </cell>
          <cell r="E31" t="str">
            <v>FlashDetect™ LyocartE CT&amp;NG&amp;UU Assay</v>
          </cell>
          <cell r="F31" t="str">
            <v>SPEC.A, 24 tests/kit</v>
          </cell>
          <cell r="G31" t="str">
            <v>Flash10/Nano</v>
          </cell>
          <cell r="H31" t="str">
            <v>RUO</v>
          </cell>
          <cell r="I31" t="str">
            <v>Class C</v>
          </cell>
          <cell r="J31">
            <v>10</v>
          </cell>
          <cell r="K31">
            <v>240</v>
          </cell>
        </row>
        <row r="32">
          <cell r="D32" t="str">
            <v>6018034205-EN</v>
          </cell>
          <cell r="E32" t="str">
            <v>FlashDetect™ LyocartE CT&amp;NG&amp;UU Assay</v>
          </cell>
          <cell r="F32" t="str">
            <v>SPEC.B, 24 tests/kit</v>
          </cell>
          <cell r="G32" t="str">
            <v>Flash10/Nano</v>
          </cell>
          <cell r="H32" t="str">
            <v>RUO</v>
          </cell>
          <cell r="I32" t="str">
            <v>Class C</v>
          </cell>
          <cell r="J32">
            <v>10</v>
          </cell>
          <cell r="K32">
            <v>240</v>
          </cell>
        </row>
        <row r="33">
          <cell r="D33" t="str">
            <v>6018011802-CE</v>
          </cell>
          <cell r="E33" t="str">
            <v>FlashDetect™ LyocartD NG&amp;UU Assay</v>
          </cell>
          <cell r="F33" t="str">
            <v>SPEC.A, 24 tests/kit</v>
          </cell>
          <cell r="G33" t="str">
            <v>Flash20/10/Nano</v>
          </cell>
          <cell r="H33" t="str">
            <v>CE-IVD</v>
          </cell>
          <cell r="I33" t="str">
            <v>Class C</v>
          </cell>
          <cell r="J33">
            <v>10</v>
          </cell>
          <cell r="K33">
            <v>240</v>
          </cell>
        </row>
        <row r="34">
          <cell r="D34" t="str">
            <v>6018011805-CE</v>
          </cell>
          <cell r="E34" t="str">
            <v>FlashDetect™ LyocartD NG&amp;UU Assay</v>
          </cell>
          <cell r="F34" t="str">
            <v>SPEC.B, 24 tests/kit</v>
          </cell>
          <cell r="G34" t="str">
            <v>Flash20/10/Nano</v>
          </cell>
          <cell r="H34" t="str">
            <v>CE-IVD</v>
          </cell>
          <cell r="I34" t="str">
            <v>Class C</v>
          </cell>
          <cell r="J34">
            <v>10</v>
          </cell>
          <cell r="K34">
            <v>240</v>
          </cell>
        </row>
        <row r="35">
          <cell r="D35" t="str">
            <v>6018011902-CE</v>
          </cell>
          <cell r="E35" t="str">
            <v>FlashDetect™ LyocartE NG&amp;UU Assay</v>
          </cell>
          <cell r="F35" t="str">
            <v>SPEC.A, 24 tests/kit</v>
          </cell>
          <cell r="G35" t="str">
            <v>Flash10/Nano</v>
          </cell>
          <cell r="H35" t="str">
            <v>CE-IVD</v>
          </cell>
          <cell r="I35" t="str">
            <v>Class C</v>
          </cell>
          <cell r="J35">
            <v>10</v>
          </cell>
          <cell r="K35">
            <v>240</v>
          </cell>
        </row>
        <row r="36">
          <cell r="D36" t="str">
            <v>6018011905-CE</v>
          </cell>
          <cell r="E36" t="str">
            <v>FlashDetect™ LyocartE NG&amp;UU Assay</v>
          </cell>
          <cell r="F36" t="str">
            <v>SPEC.B, 24 tests/kit</v>
          </cell>
          <cell r="G36" t="str">
            <v>Flash10/Nano</v>
          </cell>
          <cell r="H36" t="str">
            <v>CE-IVD</v>
          </cell>
          <cell r="I36" t="str">
            <v>Class C</v>
          </cell>
          <cell r="J36">
            <v>10</v>
          </cell>
          <cell r="K36">
            <v>240</v>
          </cell>
        </row>
        <row r="37">
          <cell r="D37" t="str">
            <v>6018012102-CE</v>
          </cell>
          <cell r="E37" t="str">
            <v>FlashDetect™ LyocartD HSV-1&amp;HSV-2 Assay</v>
          </cell>
          <cell r="F37" t="str">
            <v>SPEC.A, 24 tests/kit</v>
          </cell>
          <cell r="G37" t="str">
            <v>Flash20/10/Nano</v>
          </cell>
          <cell r="H37" t="str">
            <v>CE-IVD</v>
          </cell>
          <cell r="I37" t="str">
            <v>Class C</v>
          </cell>
          <cell r="J37">
            <v>10</v>
          </cell>
          <cell r="K37">
            <v>240</v>
          </cell>
        </row>
        <row r="38">
          <cell r="D38" t="str">
            <v>6018012105-CE</v>
          </cell>
          <cell r="E38" t="str">
            <v>FlashDetect™ LyocartD HSV-1&amp;HSV-2 Assay</v>
          </cell>
          <cell r="F38" t="str">
            <v>SPEC.B, 24 tests/kit</v>
          </cell>
          <cell r="G38" t="str">
            <v>Flash20/10/Nano</v>
          </cell>
          <cell r="H38" t="str">
            <v>CE-IVD</v>
          </cell>
          <cell r="I38" t="str">
            <v>Class C</v>
          </cell>
          <cell r="J38">
            <v>10</v>
          </cell>
          <cell r="K38">
            <v>240</v>
          </cell>
        </row>
        <row r="39">
          <cell r="D39" t="str">
            <v>6018012202-CE</v>
          </cell>
          <cell r="E39" t="str">
            <v>FlashDetect™ LyocartE HSV-1&amp;HSV-2 Assay</v>
          </cell>
          <cell r="F39" t="str">
            <v>SPEC.A, 24 tests/kit</v>
          </cell>
          <cell r="G39" t="str">
            <v>Flash10/Nano</v>
          </cell>
          <cell r="H39" t="str">
            <v>CE-IVD</v>
          </cell>
          <cell r="I39" t="str">
            <v>Class C</v>
          </cell>
          <cell r="J39">
            <v>10</v>
          </cell>
          <cell r="K39">
            <v>240</v>
          </cell>
        </row>
        <row r="40">
          <cell r="D40" t="str">
            <v>6018012205-CE</v>
          </cell>
          <cell r="E40" t="str">
            <v>FlashDetect™ LyocartE HSV-1&amp;HSV-2 Assay</v>
          </cell>
          <cell r="F40" t="str">
            <v>SPEC.B, 24 tests/kit</v>
          </cell>
          <cell r="G40" t="str">
            <v>Flash10/Nano</v>
          </cell>
          <cell r="H40" t="str">
            <v>CE-IVD</v>
          </cell>
          <cell r="I40" t="str">
            <v>Class C</v>
          </cell>
          <cell r="J40">
            <v>10</v>
          </cell>
          <cell r="K40">
            <v>240</v>
          </cell>
        </row>
        <row r="41">
          <cell r="D41" t="str">
            <v>6018032102-CE</v>
          </cell>
          <cell r="E41" t="str">
            <v>FlashDetect™ LyocartE HSV-1&amp;HSV-2&amp;VZV Assay</v>
          </cell>
          <cell r="F41" t="str">
            <v>SPEC.A, 24 tests/kit</v>
          </cell>
          <cell r="G41" t="str">
            <v>Flash10/Nano</v>
          </cell>
          <cell r="H41" t="str">
            <v>CE-IVD</v>
          </cell>
          <cell r="I41" t="str">
            <v>Class C</v>
          </cell>
          <cell r="J41">
            <v>10</v>
          </cell>
          <cell r="K41">
            <v>240</v>
          </cell>
        </row>
        <row r="42">
          <cell r="D42" t="str">
            <v>6018032105-CE</v>
          </cell>
          <cell r="E42" t="str">
            <v>FlashDetect™ LyocartE HSV-1&amp;HSV-2&amp;VZV Assay</v>
          </cell>
          <cell r="F42" t="str">
            <v>SPEC.B, 24 tests/kit</v>
          </cell>
          <cell r="G42" t="str">
            <v>Flash10/Nano</v>
          </cell>
          <cell r="H42" t="str">
            <v>CE-IVD</v>
          </cell>
          <cell r="I42" t="str">
            <v>Class C</v>
          </cell>
          <cell r="J42">
            <v>10</v>
          </cell>
          <cell r="K42">
            <v>240</v>
          </cell>
        </row>
        <row r="43">
          <cell r="D43" t="str">
            <v>6018027105-CE</v>
          </cell>
          <cell r="E43" t="str">
            <v>FlashDetect™ Lyocart GBS Assay</v>
          </cell>
          <cell r="F43" t="str">
            <v>SPEC.B, 24 tests/kit</v>
          </cell>
          <cell r="G43" t="str">
            <v>Flash10/Nano</v>
          </cell>
          <cell r="H43" t="str">
            <v>CE-IVD</v>
          </cell>
          <cell r="I43" t="str">
            <v>Class C</v>
          </cell>
          <cell r="J43">
            <v>8</v>
          </cell>
          <cell r="K43">
            <v>192</v>
          </cell>
        </row>
        <row r="44">
          <cell r="D44" t="str">
            <v>6018033202-CE</v>
          </cell>
          <cell r="E44" t="str">
            <v>FlashDetect™ LyocartE Dengue virus type I/II Assay</v>
          </cell>
          <cell r="F44" t="str">
            <v>SPEC.A, 24 tests/kit</v>
          </cell>
          <cell r="G44" t="str">
            <v>Flash10/Nano</v>
          </cell>
          <cell r="H44" t="str">
            <v>CE-IVD</v>
          </cell>
          <cell r="I44" t="str">
            <v>Class C</v>
          </cell>
          <cell r="J44">
            <v>10</v>
          </cell>
          <cell r="K44">
            <v>240</v>
          </cell>
        </row>
        <row r="45">
          <cell r="D45" t="str">
            <v>6018033402-CE</v>
          </cell>
          <cell r="E45" t="str">
            <v>FlashDetect™ LyocartE Dengue virus type III/IV Assay</v>
          </cell>
          <cell r="F45" t="str">
            <v>SPEC.B, 24 tests/kit</v>
          </cell>
          <cell r="G45" t="str">
            <v>Flash10/Nano</v>
          </cell>
          <cell r="H45" t="str">
            <v>CE-IVD</v>
          </cell>
          <cell r="I45" t="str">
            <v>Class C</v>
          </cell>
          <cell r="J45">
            <v>10</v>
          </cell>
          <cell r="K45">
            <v>240</v>
          </cell>
        </row>
        <row r="46">
          <cell r="D46" t="str">
            <v>6018031802-CE</v>
          </cell>
          <cell r="E46" t="str">
            <v>FlashDetect™ LyocartE SARS-CoV-2&amp;FluA&amp;FluB&amp;RSV Assay</v>
          </cell>
          <cell r="F46" t="str">
            <v>SPEC.A, 24 tests/kit</v>
          </cell>
          <cell r="G46" t="str">
            <v>Flash10/Nano</v>
          </cell>
          <cell r="H46" t="str">
            <v>CE-IVD</v>
          </cell>
          <cell r="I46" t="str">
            <v>Class B</v>
          </cell>
          <cell r="J46">
            <v>11</v>
          </cell>
          <cell r="K46">
            <v>264</v>
          </cell>
        </row>
        <row r="47">
          <cell r="D47" t="str">
            <v>6018031805-CE</v>
          </cell>
          <cell r="E47" t="str">
            <v>FlashDetect™ LyocartE SARS-CoV-2&amp;FluA&amp;FluB&amp;RSV Assay</v>
          </cell>
          <cell r="F47" t="str">
            <v>SPEC.B, 24 tests/kit</v>
          </cell>
          <cell r="G47" t="str">
            <v>Flash10/Nano</v>
          </cell>
          <cell r="H47" t="str">
            <v>CE-IVD</v>
          </cell>
          <cell r="I47" t="str">
            <v>Class B</v>
          </cell>
          <cell r="J47">
            <v>11</v>
          </cell>
          <cell r="K47">
            <v>264</v>
          </cell>
        </row>
        <row r="48">
          <cell r="D48" t="str">
            <v>6018021905-CE</v>
          </cell>
          <cell r="E48" t="str">
            <v>FlashDetect™ Lyocart Strep A Assay</v>
          </cell>
          <cell r="F48" t="str">
            <v>SPEC.B, 24 tests/kit</v>
          </cell>
          <cell r="G48" t="str">
            <v>Flash10/Nano</v>
          </cell>
          <cell r="H48" t="str">
            <v>CE-IVD</v>
          </cell>
          <cell r="I48" t="str">
            <v>Class B</v>
          </cell>
          <cell r="J48">
            <v>8</v>
          </cell>
          <cell r="K48">
            <v>192</v>
          </cell>
        </row>
        <row r="49">
          <cell r="D49" t="str">
            <v>6018020402-CE</v>
          </cell>
          <cell r="E49" t="str">
            <v>FlashDetect™ LyocartE MRSA/SA Assay</v>
          </cell>
          <cell r="F49" t="str">
            <v>SPEC.A, 24 tests/kit</v>
          </cell>
          <cell r="G49" t="str">
            <v>Flash10/Nano</v>
          </cell>
          <cell r="H49" t="str">
            <v>CE-IVD</v>
          </cell>
          <cell r="I49" t="str">
            <v>Class C</v>
          </cell>
          <cell r="J49">
            <v>9</v>
          </cell>
          <cell r="K49">
            <v>216</v>
          </cell>
        </row>
        <row r="50">
          <cell r="D50" t="str">
            <v>6018020405-CE</v>
          </cell>
          <cell r="E50" t="str">
            <v>FlashDetect™ LyocartE MRSA/SA Assay</v>
          </cell>
          <cell r="F50" t="str">
            <v>SPEC.B, 24 tests/kit</v>
          </cell>
          <cell r="G50" t="str">
            <v>Flash10/Nano</v>
          </cell>
          <cell r="H50" t="str">
            <v>CE-IVD</v>
          </cell>
          <cell r="I50" t="str">
            <v>Class C</v>
          </cell>
          <cell r="J50">
            <v>9</v>
          </cell>
          <cell r="K50">
            <v>216</v>
          </cell>
        </row>
        <row r="51">
          <cell r="D51" t="str">
            <v>6018026302-CE</v>
          </cell>
          <cell r="E51" t="str">
            <v>FlashDetect™ LyocartE RSV&amp;MP&amp;ADV Assay</v>
          </cell>
          <cell r="F51" t="str">
            <v>SPEC.A, 24 tests/kit</v>
          </cell>
          <cell r="G51" t="str">
            <v>Flash10/Nano</v>
          </cell>
          <cell r="H51" t="str">
            <v>CE-IVD</v>
          </cell>
          <cell r="I51" t="str">
            <v>Class B</v>
          </cell>
          <cell r="J51">
            <v>10</v>
          </cell>
          <cell r="K51">
            <v>240</v>
          </cell>
        </row>
        <row r="52">
          <cell r="D52" t="str">
            <v>6018026305-CE</v>
          </cell>
          <cell r="E52" t="str">
            <v>FlashDetect™ LyocartE RSV&amp;MP&amp;ADV Assay</v>
          </cell>
          <cell r="F52" t="str">
            <v>SPEC.B, 24 tests/kit</v>
          </cell>
          <cell r="G52" t="str">
            <v>Flash10/Nano</v>
          </cell>
          <cell r="H52" t="str">
            <v>CE-IVD</v>
          </cell>
          <cell r="I52" t="str">
            <v>Class B</v>
          </cell>
          <cell r="J52">
            <v>10</v>
          </cell>
          <cell r="K52">
            <v>240</v>
          </cell>
        </row>
        <row r="53">
          <cell r="D53" t="str">
            <v>6018033002-CE</v>
          </cell>
          <cell r="E53" t="str">
            <v>FlashDetect™ LyocartE Norovirus GI/GII Assay</v>
          </cell>
          <cell r="F53" t="str">
            <v>SPEC.B, 24 tests/kit</v>
          </cell>
          <cell r="G53" t="str">
            <v>Flash10/Nano</v>
          </cell>
          <cell r="H53" t="str">
            <v>CE-IVD</v>
          </cell>
          <cell r="I53" t="str">
            <v>Class B</v>
          </cell>
          <cell r="J53">
            <v>9</v>
          </cell>
          <cell r="K53">
            <v>216</v>
          </cell>
        </row>
        <row r="54">
          <cell r="D54" t="str">
            <v>6018018605-CE</v>
          </cell>
          <cell r="E54" t="str">
            <v>FlashDetect™ LyocartE Enterovirus 71 Assay</v>
          </cell>
          <cell r="F54" t="str">
            <v>SPEC.B, 24 tests/kit</v>
          </cell>
          <cell r="G54" t="str">
            <v>Flash10/Nano</v>
          </cell>
          <cell r="H54" t="str">
            <v>CE-IVD</v>
          </cell>
          <cell r="I54" t="str">
            <v>Class B</v>
          </cell>
          <cell r="J54">
            <v>9</v>
          </cell>
          <cell r="K54">
            <v>216</v>
          </cell>
        </row>
        <row r="55">
          <cell r="D55" t="str">
            <v>6018031701-CE</v>
          </cell>
          <cell r="E55" t="str">
            <v>Stool Sample Buffer</v>
          </cell>
          <cell r="F55" t="str">
            <v>1mL/vial, 2*12 vials</v>
          </cell>
          <cell r="G55" t="str">
            <v>Provided with Norovirus and EV71 Assays</v>
          </cell>
          <cell r="H55" t="str">
            <v>CE-IVD</v>
          </cell>
          <cell r="I55" t="str">
            <v>Class B</v>
          </cell>
          <cell r="J55" t="str">
            <v>FOC with every kit</v>
          </cell>
          <cell r="K55" t="str">
            <v>FOC with every kit</v>
          </cell>
        </row>
        <row r="56">
          <cell r="D56" t="str">
            <v>6018022502-CE</v>
          </cell>
          <cell r="E56" t="str">
            <v>FlashDetect™ LyocartE Monkeypox Virus Assay</v>
          </cell>
          <cell r="F56" t="str">
            <v>SPEC.A, 24 tests/kit</v>
          </cell>
          <cell r="G56" t="str">
            <v>Flash10/Nano</v>
          </cell>
          <cell r="H56" t="str">
            <v>CE-IVD</v>
          </cell>
          <cell r="I56" t="str">
            <v>Class C</v>
          </cell>
          <cell r="J56">
            <v>8</v>
          </cell>
          <cell r="K56">
            <v>192</v>
          </cell>
        </row>
        <row r="57">
          <cell r="D57" t="str">
            <v>6018022507-CE</v>
          </cell>
          <cell r="E57" t="str">
            <v>FlashDetect™ LyocartE Monkeypox Virus Assay</v>
          </cell>
          <cell r="F57" t="str">
            <v>SPEC.B, 24 tests/kit</v>
          </cell>
          <cell r="G57" t="str">
            <v>Flash10/Nano</v>
          </cell>
          <cell r="H57" t="str">
            <v>CE-IVD</v>
          </cell>
          <cell r="I57" t="str">
            <v>Class C</v>
          </cell>
          <cell r="J57">
            <v>8</v>
          </cell>
          <cell r="K57">
            <v>192</v>
          </cell>
        </row>
        <row r="58">
          <cell r="D58" t="str">
            <v>6018025502-EN</v>
          </cell>
          <cell r="E58" t="str">
            <v>FlashDetect™ LyocartD ALDH2 Assay</v>
          </cell>
          <cell r="F58" t="str">
            <v>SPEC.A, 24 tests/kit</v>
          </cell>
          <cell r="G58" t="str">
            <v>Flash10/Nano</v>
          </cell>
          <cell r="H58" t="str">
            <v>RUO</v>
          </cell>
          <cell r="I58" t="str">
            <v>Class C</v>
          </cell>
          <cell r="J58">
            <v>8</v>
          </cell>
          <cell r="K58">
            <v>192</v>
          </cell>
        </row>
        <row r="59">
          <cell r="D59" t="str">
            <v>6001024702-EN</v>
          </cell>
          <cell r="E59" t="str">
            <v>FlashDetect™ LyocartD MTHFR C677T Assay</v>
          </cell>
          <cell r="F59" t="str">
            <v>SPEC.A, 24 tests/kit</v>
          </cell>
          <cell r="G59" t="str">
            <v>Flash10/Nano</v>
          </cell>
          <cell r="H59" t="str">
            <v>RUO</v>
          </cell>
          <cell r="I59" t="str">
            <v>Class C</v>
          </cell>
          <cell r="J59">
            <v>8</v>
          </cell>
          <cell r="K59">
            <v>192</v>
          </cell>
        </row>
        <row r="60">
          <cell r="D60" t="str">
            <v>6018017717-CE</v>
          </cell>
          <cell r="E60" t="str">
            <v>FlashDetect™ LyocartE Chikungunya Virus Assay (For Serum, EDTA plasma and Urine)</v>
          </cell>
          <cell r="F60" t="str">
            <v>SPEC.B, 24 tests/kit</v>
          </cell>
          <cell r="G60" t="str">
            <v>Flash10/Nano</v>
          </cell>
          <cell r="H60" t="str">
            <v>CE-IVD</v>
          </cell>
          <cell r="I60" t="str">
            <v>Class C</v>
          </cell>
          <cell r="J60">
            <v>8</v>
          </cell>
          <cell r="K60">
            <v>192</v>
          </cell>
        </row>
        <row r="61">
          <cell r="D61" t="str">
            <v>6022001102-EN</v>
          </cell>
          <cell r="E61" t="str">
            <v>FlashDetect™ LyocartD Canine Distemper Virus Assay</v>
          </cell>
          <cell r="F61" t="str">
            <v>SPEC.A, 24 tests/kit</v>
          </cell>
          <cell r="G61" t="str">
            <v>Flash Nano</v>
          </cell>
          <cell r="H61" t="str">
            <v>RUO</v>
          </cell>
          <cell r="I61" t="str">
            <v>VET  NA</v>
          </cell>
          <cell r="J61">
            <v>7</v>
          </cell>
          <cell r="K61">
            <v>168</v>
          </cell>
        </row>
        <row r="62">
          <cell r="D62" t="str">
            <v>6022001202-EN</v>
          </cell>
          <cell r="E62" t="str">
            <v>FlashDetect™ LyocartE African Swine Fever Virus Assay</v>
          </cell>
          <cell r="F62" t="str">
            <v>SPEC.A, 24 tests/kit</v>
          </cell>
          <cell r="G62" t="str">
            <v>Flash10/Nano</v>
          </cell>
          <cell r="H62" t="str">
            <v>RUO</v>
          </cell>
          <cell r="I62" t="str">
            <v>VET  NA</v>
          </cell>
          <cell r="J62">
            <v>7</v>
          </cell>
          <cell r="K62">
            <v>168</v>
          </cell>
        </row>
        <row r="63">
          <cell r="D63" t="str">
            <v>6022001302-EN</v>
          </cell>
          <cell r="E63" t="str">
            <v>FlashDetect™ LyocartD CIA&amp;CADV&amp;CPIV Assay</v>
          </cell>
          <cell r="F63" t="str">
            <v>SPEC.A, 24 tests/kit</v>
          </cell>
          <cell r="G63" t="str">
            <v>Flash Nano</v>
          </cell>
          <cell r="H63" t="str">
            <v>RUO</v>
          </cell>
          <cell r="I63" t="str">
            <v>VET  NA</v>
          </cell>
          <cell r="J63">
            <v>7</v>
          </cell>
          <cell r="K63">
            <v>168</v>
          </cell>
        </row>
        <row r="64">
          <cell r="D64" t="str">
            <v>6022001402-EN</v>
          </cell>
          <cell r="E64" t="str">
            <v>FlashDetect™ LyocartD FCV&amp;FHV Assay</v>
          </cell>
          <cell r="F64" t="str">
            <v>SPEC.A, 24 tests/kit</v>
          </cell>
          <cell r="G64" t="str">
            <v>Flash Nano</v>
          </cell>
          <cell r="H64" t="str">
            <v>RUO</v>
          </cell>
          <cell r="I64" t="str">
            <v>VET  NA</v>
          </cell>
          <cell r="J64">
            <v>7</v>
          </cell>
          <cell r="K64">
            <v>168</v>
          </cell>
        </row>
        <row r="65">
          <cell r="D65" t="str">
            <v>6022001502-EN</v>
          </cell>
          <cell r="E65" t="str">
            <v>FlashDetect™ LyocartD Mycof&amp;Chlf&amp;Bobfla Assay</v>
          </cell>
          <cell r="F65" t="str">
            <v>SPEC.A, 24 tests/kit</v>
          </cell>
          <cell r="G65" t="str">
            <v>Flash Nano</v>
          </cell>
          <cell r="H65" t="str">
            <v>RUO</v>
          </cell>
          <cell r="I65" t="str">
            <v>VET  NA</v>
          </cell>
          <cell r="J65">
            <v>7</v>
          </cell>
          <cell r="K65">
            <v>168</v>
          </cell>
        </row>
        <row r="66">
          <cell r="D66" t="str">
            <v>6022001602-EN</v>
          </cell>
          <cell r="E66" t="str">
            <v>FlashDetect™ LyocartE FCoV&amp;FPV Assay</v>
          </cell>
          <cell r="F66" t="str">
            <v>SPEC.B, 24 tests/kit</v>
          </cell>
          <cell r="G66" t="str">
            <v>Flash 10/Nano</v>
          </cell>
          <cell r="H66" t="str">
            <v>RUO</v>
          </cell>
          <cell r="I66" t="str">
            <v>VET  NA</v>
          </cell>
          <cell r="J66">
            <v>7</v>
          </cell>
          <cell r="K66">
            <v>168</v>
          </cell>
        </row>
        <row r="67">
          <cell r="D67" t="str">
            <v>6022001702-EN</v>
          </cell>
          <cell r="E67" t="str">
            <v>FlashDetect™ LyocartE FIPV Assay</v>
          </cell>
          <cell r="F67" t="str">
            <v>SPEC.B, 24 tests/kit</v>
          </cell>
          <cell r="G67" t="str">
            <v>Flash 10/Nano</v>
          </cell>
          <cell r="H67" t="str">
            <v>RUO</v>
          </cell>
          <cell r="I67" t="str">
            <v>VET  NA</v>
          </cell>
          <cell r="J67">
            <v>7</v>
          </cell>
          <cell r="K67">
            <v>168</v>
          </cell>
        </row>
        <row r="68">
          <cell r="D68" t="str">
            <v>6018020204-CE</v>
          </cell>
          <cell r="E68" t="str">
            <v>COYOTE® CCTS™ Respiratory Swab Specimen Collection Kit</v>
          </cell>
          <cell r="F68" t="str">
            <v>SPEC.B, 100/pack</v>
          </cell>
          <cell r="G68" t="str">
            <v>Oropharyngeal Swab +VTM</v>
          </cell>
          <cell r="H68" t="str">
            <v>CE/IVD</v>
          </cell>
          <cell r="I68" t="str">
            <v>Class A</v>
          </cell>
          <cell r="J68">
            <v>0.2</v>
          </cell>
          <cell r="K68">
            <v>20</v>
          </cell>
        </row>
        <row r="69">
          <cell r="D69" t="str">
            <v>6018020207-CE</v>
          </cell>
          <cell r="E69" t="str">
            <v>COYOTE® CCTS™ Respiratory Swab Specimen Collection Kit</v>
          </cell>
          <cell r="F69" t="str">
            <v>SPEC.B, 100/pack</v>
          </cell>
          <cell r="G69" t="str">
            <v>Nasopharyngeal Swab + VTM</v>
          </cell>
          <cell r="H69" t="str">
            <v>CE/IVD</v>
          </cell>
          <cell r="I69" t="str">
            <v>Class A</v>
          </cell>
          <cell r="J69">
            <v>0.2</v>
          </cell>
          <cell r="K69">
            <v>20</v>
          </cell>
        </row>
        <row r="70">
          <cell r="D70" t="str">
            <v xml:space="preserve">6018023519-CE </v>
          </cell>
          <cell r="E70" t="str">
            <v>COYOTE® CCTSTM Universal Transport Medium Collection Kit (Specimen Collection Swab)</v>
          </cell>
          <cell r="F70" t="str">
            <v>SPEC.A, 100/Pack</v>
          </cell>
          <cell r="G70" t="str">
            <v>Oropharyngeal/Anogenital/Vaginal/Endocervical/Urethral/Rectal/Buccal swab</v>
          </cell>
          <cell r="H70" t="str">
            <v>CE/IVD</v>
          </cell>
          <cell r="I70" t="str">
            <v>Class A</v>
          </cell>
          <cell r="J70">
            <v>0.2</v>
          </cell>
          <cell r="K70">
            <v>20</v>
          </cell>
        </row>
        <row r="71">
          <cell r="D71" t="str">
            <v>6018023520-CE</v>
          </cell>
          <cell r="E71" t="str">
            <v>COYOTE® CCTSTM Universal Transport Medium Collection Kit (Specimen Collection Swab)</v>
          </cell>
          <cell r="F71" t="str">
            <v>SPEC.A, 100/Pack</v>
          </cell>
          <cell r="G71" t="str">
            <v>Nasal/Nasopharyngeal swab</v>
          </cell>
          <cell r="H71" t="str">
            <v>CE/IVD</v>
          </cell>
          <cell r="I71" t="str">
            <v>Class A</v>
          </cell>
          <cell r="J71">
            <v>0.2</v>
          </cell>
          <cell r="K71">
            <v>20</v>
          </cell>
        </row>
        <row r="72">
          <cell r="D72" t="str">
            <v>6018023502-CE</v>
          </cell>
          <cell r="E72" t="str">
            <v>COYOTE® CCTSTM Universal Transport Medium Collection Kit</v>
          </cell>
          <cell r="F72" t="str">
            <v>SPEC.B, 100/Pack</v>
          </cell>
          <cell r="G72" t="str">
            <v>VTM</v>
          </cell>
          <cell r="H72" t="str">
            <v>CE/IVD</v>
          </cell>
          <cell r="I72" t="str">
            <v>Class A</v>
          </cell>
          <cell r="J72">
            <v>0.2</v>
          </cell>
          <cell r="K72">
            <v>20</v>
          </cell>
        </row>
        <row r="73">
          <cell r="D73" t="str">
            <v>6018023505-CE</v>
          </cell>
          <cell r="E73" t="str">
            <v>COYOTE® CCTSTM Universal Transport Medium Collection Kit</v>
          </cell>
          <cell r="F73" t="str">
            <v>SPEC.B, 100/Pack</v>
          </cell>
          <cell r="G73" t="str">
            <v>Oropharyngeal swab+VTM</v>
          </cell>
          <cell r="H73" t="str">
            <v>CE/IVD</v>
          </cell>
          <cell r="I73" t="str">
            <v>Class A</v>
          </cell>
          <cell r="J73">
            <v>0.5</v>
          </cell>
          <cell r="K73">
            <v>50</v>
          </cell>
        </row>
        <row r="74">
          <cell r="D74" t="str">
            <v>6018023508-CE</v>
          </cell>
          <cell r="E74" t="str">
            <v>COYOTE® CCTSTM Universal Transport Medium Collection Kit</v>
          </cell>
          <cell r="F74" t="str">
            <v>SPEC.B, 100/Pack</v>
          </cell>
          <cell r="G74" t="str">
            <v>Nasal swab+VTM</v>
          </cell>
          <cell r="H74" t="str">
            <v>CE/IVD</v>
          </cell>
          <cell r="I74" t="str">
            <v>Class A</v>
          </cell>
          <cell r="J74">
            <v>0.5</v>
          </cell>
          <cell r="K74">
            <v>50</v>
          </cell>
        </row>
        <row r="75">
          <cell r="D75" t="str">
            <v>6018023511-CE</v>
          </cell>
          <cell r="E75" t="str">
            <v>COYOTE® CCTSTM Universal Transport Medium Collection Kit</v>
          </cell>
          <cell r="F75" t="str">
            <v>SPEC.B, 100/Pack</v>
          </cell>
          <cell r="G75" t="str">
            <v>Nasopharyngeal swab+VTM</v>
          </cell>
          <cell r="H75" t="str">
            <v>CE/IVD</v>
          </cell>
          <cell r="I75" t="str">
            <v>Class A</v>
          </cell>
          <cell r="J75">
            <v>0.5</v>
          </cell>
          <cell r="K75">
            <v>50</v>
          </cell>
        </row>
        <row r="76">
          <cell r="D76" t="str">
            <v>6018023514-CE</v>
          </cell>
          <cell r="E76" t="str">
            <v>COYOTE® CCTSTM Universal Transport Medium Collection Kit</v>
          </cell>
          <cell r="F76" t="str">
            <v>SPEC.B, 100/Pack</v>
          </cell>
          <cell r="G76" t="str">
            <v>Anogenital swab+VTM</v>
          </cell>
          <cell r="H76" t="str">
            <v>CE/IVD</v>
          </cell>
          <cell r="I76" t="str">
            <v>Class A</v>
          </cell>
          <cell r="J76">
            <v>0.5</v>
          </cell>
          <cell r="K76">
            <v>50</v>
          </cell>
        </row>
        <row r="77">
          <cell r="D77" t="str">
            <v>6018037401-CE</v>
          </cell>
          <cell r="E77" t="str">
            <v>COYOTE® CCTS™ Sputum Liquefaction Kit</v>
          </cell>
          <cell r="F77" t="str">
            <v>36 pcs/Pack</v>
          </cell>
          <cell r="G77" t="str">
            <v>Sputum Liquefaction Kit, required by MTB Assay</v>
          </cell>
          <cell r="H77" t="str">
            <v xml:space="preserve">CE/IVD </v>
          </cell>
          <cell r="I77" t="str">
            <v>Class A</v>
          </cell>
          <cell r="J77" t="str">
            <v>FOC</v>
          </cell>
          <cell r="K77" t="str">
            <v>FOC</v>
          </cell>
        </row>
        <row r="78">
          <cell r="D78" t="str">
            <v>6018032401-CE</v>
          </cell>
          <cell r="E78" t="str">
            <v>COYOTE® CCTS™  Microbial Sample Collection Kit</v>
          </cell>
          <cell r="F78" t="str">
            <v>100 pcs/Pack</v>
          </cell>
          <cell r="G78" t="str">
            <v xml:space="preserve">Microbial Sample Collection Kit,  </v>
          </cell>
          <cell r="H78" t="str">
            <v>CE/IVD</v>
          </cell>
          <cell r="I78" t="str">
            <v>Class A</v>
          </cell>
          <cell r="J78" t="str">
            <v>FOC</v>
          </cell>
          <cell r="K78" t="str">
            <v>FOC</v>
          </cell>
        </row>
        <row r="79">
          <cell r="D79" t="str">
            <v>6018032404-CE</v>
          </cell>
          <cell r="E79" t="str">
            <v>COYOTE® CCTS™  Microbial Sample Collection Kit</v>
          </cell>
          <cell r="F79" t="str">
            <v>100 pcs/bag</v>
          </cell>
          <cell r="G79" t="str">
            <v>Polyurethane foam swab, required by MTB assay (SPEC. A, Tongue swab)</v>
          </cell>
          <cell r="H79" t="str">
            <v>CE/IVD</v>
          </cell>
          <cell r="I79" t="str">
            <v>Class A</v>
          </cell>
          <cell r="J79" t="str">
            <v>FOC</v>
          </cell>
          <cell r="K79" t="str">
            <v>FOC</v>
          </cell>
        </row>
        <row r="80">
          <cell r="D80">
            <v>7002027001</v>
          </cell>
          <cell r="E80" t="str">
            <v>Nano backpack</v>
          </cell>
          <cell r="F80" t="str">
            <v>1/unit</v>
          </cell>
          <cell r="G80" t="str">
            <v>Nano</v>
          </cell>
          <cell r="H80" t="str">
            <v>/</v>
          </cell>
          <cell r="I80" t="str">
            <v>/</v>
          </cell>
          <cell r="J80">
            <v>80</v>
          </cell>
          <cell r="K80">
            <v>80</v>
          </cell>
        </row>
        <row r="81">
          <cell r="D81" t="str">
            <v>6018032802-CE</v>
          </cell>
          <cell r="E81" t="str">
            <v>FlashDetect™ LyocartE HMPV/HPIV/HRV Assay</v>
          </cell>
          <cell r="F81" t="str">
            <v>SPEC.A, 24 tests/kit</v>
          </cell>
          <cell r="G81" t="str">
            <v>Flash10/Nano</v>
          </cell>
          <cell r="H81" t="str">
            <v>CE-IVD</v>
          </cell>
          <cell r="I81" t="str">
            <v>Class B</v>
          </cell>
          <cell r="J81">
            <v>10</v>
          </cell>
          <cell r="K81">
            <v>240</v>
          </cell>
        </row>
        <row r="82">
          <cell r="D82" t="str">
            <v>6018032805-CE</v>
          </cell>
          <cell r="E82" t="str">
            <v>FlashDetect™ LyocartE HMPV/HPIV/HRV Assay</v>
          </cell>
          <cell r="F82" t="str">
            <v>SPEC.B, 24 tests/kit</v>
          </cell>
          <cell r="G82" t="str">
            <v>Flash10/Nano</v>
          </cell>
          <cell r="H82" t="str">
            <v>CE-IVD</v>
          </cell>
          <cell r="I82" t="str">
            <v>Class B</v>
          </cell>
          <cell r="J82">
            <v>10</v>
          </cell>
          <cell r="K82">
            <v>240</v>
          </cell>
        </row>
        <row r="83">
          <cell r="D83" t="str">
            <v>6018013905-CE</v>
          </cell>
          <cell r="E83" t="str">
            <v>FlashDetect™ LyocartE MTB Assay</v>
          </cell>
          <cell r="F83" t="str">
            <v>SPEC.B, 24 tests/kit</v>
          </cell>
          <cell r="G83" t="str">
            <v>Flash10/Nano</v>
          </cell>
          <cell r="H83" t="str">
            <v>CE-IVD</v>
          </cell>
          <cell r="I83" t="str">
            <v>Class C</v>
          </cell>
          <cell r="J83">
            <v>9</v>
          </cell>
          <cell r="K83">
            <v>216</v>
          </cell>
        </row>
        <row r="84">
          <cell r="D84" t="str">
            <v>6018006501-CE</v>
          </cell>
          <cell r="E84" t="str">
            <v>FlashDetectTM SARS-COV-2 External Quality Control</v>
          </cell>
          <cell r="F84" t="str">
            <v>SPEC.A</v>
          </cell>
          <cell r="G84" t="str">
            <v>LyocartE SARS-CoV-2</v>
          </cell>
          <cell r="H84" t="str">
            <v>CE-IVD</v>
          </cell>
          <cell r="I84" t="str">
            <v>Class B</v>
          </cell>
          <cell r="J84">
            <v>20</v>
          </cell>
          <cell r="K84">
            <v>20</v>
          </cell>
        </row>
        <row r="85">
          <cell r="D85" t="str">
            <v>6018006502-CE</v>
          </cell>
          <cell r="E85" t="str">
            <v>FlashDetectTM SARS-COV-2 External Quality Control</v>
          </cell>
          <cell r="F85" t="str">
            <v>SPEC.B</v>
          </cell>
          <cell r="G85" t="str">
            <v xml:space="preserve">LyocartD SARS-CoV-2 </v>
          </cell>
          <cell r="H85" t="str">
            <v>CE-IVD</v>
          </cell>
          <cell r="I85" t="str">
            <v>Class B</v>
          </cell>
          <cell r="J85">
            <v>20</v>
          </cell>
          <cell r="K85">
            <v>20</v>
          </cell>
        </row>
        <row r="86">
          <cell r="D86" t="str">
            <v>6018006901-CE</v>
          </cell>
          <cell r="E86" t="str">
            <v>FlashDetectTM SARS-CoV-2&amp;Flu A&amp;Flu B External Quality Control</v>
          </cell>
          <cell r="F86" t="str">
            <v>SPEC.A</v>
          </cell>
          <cell r="G86" t="str">
            <v>LyocartE</v>
          </cell>
          <cell r="H86" t="str">
            <v>CE-IVD</v>
          </cell>
          <cell r="I86" t="str">
            <v>Class B</v>
          </cell>
          <cell r="J86">
            <v>20</v>
          </cell>
          <cell r="K86">
            <v>20</v>
          </cell>
        </row>
        <row r="87">
          <cell r="G87" t="str">
            <v xml:space="preserve"> SARS-CoV-2&amp;Flu A&amp;Flu B</v>
          </cell>
        </row>
        <row r="88">
          <cell r="G88" t="str">
            <v xml:space="preserve">LyocartD </v>
          </cell>
        </row>
        <row r="89">
          <cell r="D89" t="str">
            <v>6018006902-CE</v>
          </cell>
          <cell r="E89" t="str">
            <v>FlashDetectTM SARS-CoV-2&amp;Flu A&amp;Flu B External Quality Control</v>
          </cell>
          <cell r="F89" t="str">
            <v>SPEC.B</v>
          </cell>
          <cell r="G89" t="str">
            <v>SARS-CoV-2&amp;Flu A&amp;Flu B</v>
          </cell>
          <cell r="H89" t="str">
            <v>CE-IVD</v>
          </cell>
          <cell r="I89" t="str">
            <v>Class B</v>
          </cell>
          <cell r="J89">
            <v>20</v>
          </cell>
          <cell r="K89">
            <v>20</v>
          </cell>
        </row>
        <row r="90">
          <cell r="D90" t="str">
            <v>6018032001-CE</v>
          </cell>
          <cell r="E90" t="str">
            <v>FlashDetectTM SARS-CoV-2&amp;Flu A&amp;Flu B&amp;RSV External Quality Control</v>
          </cell>
          <cell r="F90" t="str">
            <v>SPEC.A</v>
          </cell>
          <cell r="G90" t="str">
            <v xml:space="preserve">LyocartE </v>
          </cell>
          <cell r="H90" t="str">
            <v>CE-IVD</v>
          </cell>
          <cell r="I90" t="str">
            <v>Class B</v>
          </cell>
          <cell r="J90">
            <v>20</v>
          </cell>
          <cell r="K90">
            <v>20</v>
          </cell>
        </row>
        <row r="91">
          <cell r="D91" t="str">
            <v>6018032002-CE</v>
          </cell>
          <cell r="E91" t="str">
            <v>FlashDetectTM SARS-CoV-2&amp;Flu A&amp;Flu B&amp;RSV External Quality Control</v>
          </cell>
          <cell r="F91" t="str">
            <v>SPEC.B</v>
          </cell>
          <cell r="G91" t="str">
            <v>SARS-CoV-2 /FluA/FluB/RSV</v>
          </cell>
          <cell r="H91" t="str">
            <v>CE-IVD</v>
          </cell>
          <cell r="I91" t="str">
            <v>Class B</v>
          </cell>
          <cell r="J91">
            <v>20</v>
          </cell>
          <cell r="K91">
            <v>20</v>
          </cell>
        </row>
        <row r="92">
          <cell r="D92" t="str">
            <v>6018010901-CE</v>
          </cell>
          <cell r="E92" t="str">
            <v>FlashDetect™ FluA&amp;FluB&amp;RSV External Quality Control(SPEC. A)</v>
          </cell>
          <cell r="F92" t="str">
            <v>SPEC.A</v>
          </cell>
          <cell r="G92" t="str">
            <v xml:space="preserve">LyocartD </v>
          </cell>
          <cell r="H92" t="str">
            <v>CE-IVD</v>
          </cell>
          <cell r="I92" t="str">
            <v>Class B</v>
          </cell>
          <cell r="J92">
            <v>20</v>
          </cell>
          <cell r="K92">
            <v>20</v>
          </cell>
        </row>
        <row r="93">
          <cell r="D93" t="str">
            <v>6018010902-CE</v>
          </cell>
          <cell r="E93" t="str">
            <v>FlashDetect™ FluA&amp;FluB&amp;RSV External Quality Control(SPEC. B)</v>
          </cell>
          <cell r="F93" t="str">
            <v>SPEC.B</v>
          </cell>
          <cell r="G93" t="str">
            <v>FluA&amp;FluB&amp;RSV</v>
          </cell>
          <cell r="H93" t="str">
            <v>CE-IVD</v>
          </cell>
          <cell r="I93" t="str">
            <v>Class B</v>
          </cell>
          <cell r="J93">
            <v>20</v>
          </cell>
          <cell r="K93">
            <v>20</v>
          </cell>
        </row>
        <row r="94">
          <cell r="D94" t="str">
            <v>6018010301-CE</v>
          </cell>
          <cell r="E94" t="str">
            <v>FlashDetectTM MG&amp;TV&amp;MH External Quality Control</v>
          </cell>
          <cell r="F94" t="str">
            <v>SPEC.A</v>
          </cell>
          <cell r="G94" t="str">
            <v xml:space="preserve">LyocartE </v>
          </cell>
          <cell r="H94" t="str">
            <v>CE-IVD</v>
          </cell>
          <cell r="I94" t="str">
            <v>Class C</v>
          </cell>
          <cell r="J94">
            <v>20</v>
          </cell>
          <cell r="K94">
            <v>20</v>
          </cell>
        </row>
        <row r="95">
          <cell r="D95" t="str">
            <v>6018010302-CE</v>
          </cell>
          <cell r="E95" t="str">
            <v>FlashDetectTM MG&amp;TV&amp;MH External Quality Control</v>
          </cell>
          <cell r="F95" t="str">
            <v>SPEC.B</v>
          </cell>
          <cell r="G95" t="str">
            <v>MG&amp;TV&amp;MH Assay</v>
          </cell>
          <cell r="H95" t="str">
            <v>CE-IVD</v>
          </cell>
          <cell r="I95" t="str">
            <v>Class C</v>
          </cell>
          <cell r="J95">
            <v>20</v>
          </cell>
          <cell r="K95">
            <v>20</v>
          </cell>
        </row>
        <row r="96">
          <cell r="D96" t="str">
            <v>6018018802-CE</v>
          </cell>
          <cell r="E96" t="str">
            <v>FlashDetect™Enterovirus 71 External Quality Control</v>
          </cell>
          <cell r="F96" t="str">
            <v>SPEC.B</v>
          </cell>
          <cell r="G96" t="str">
            <v>FlashDetect™ LyocartE Enterovirus 71 Assay</v>
          </cell>
          <cell r="H96" t="str">
            <v>CE-IVD</v>
          </cell>
          <cell r="I96" t="str">
            <v>Class B</v>
          </cell>
          <cell r="J96">
            <v>20</v>
          </cell>
          <cell r="K96">
            <v>20</v>
          </cell>
        </row>
        <row r="97">
          <cell r="D97" t="str">
            <v>6018022701-CE</v>
          </cell>
          <cell r="E97" t="str">
            <v>FlashDetect™ Monkeypox Virus External Quality Control</v>
          </cell>
          <cell r="F97" t="str">
            <v>SPEC.A</v>
          </cell>
          <cell r="G97" t="str">
            <v>FlashDetect™ LyocartE Monkeypox Virus Assay</v>
          </cell>
          <cell r="H97" t="str">
            <v>CE-IVD</v>
          </cell>
          <cell r="I97" t="str">
            <v>Class C</v>
          </cell>
          <cell r="J97">
            <v>20</v>
          </cell>
          <cell r="K97">
            <v>20</v>
          </cell>
        </row>
        <row r="98">
          <cell r="D98" t="str">
            <v>6018022702-CE</v>
          </cell>
          <cell r="E98" t="str">
            <v>FlashDetect™ Monkeypox Virus External Quality Control</v>
          </cell>
          <cell r="F98" t="str">
            <v>SPEC.B</v>
          </cell>
          <cell r="G98" t="str">
            <v>FlashDetect™ LyocartE Monkeypox Virus Assay</v>
          </cell>
          <cell r="H98" t="str">
            <v>CE-IVD</v>
          </cell>
          <cell r="I98" t="str">
            <v>Class C</v>
          </cell>
          <cell r="J98">
            <v>20</v>
          </cell>
          <cell r="K98">
            <v>20</v>
          </cell>
        </row>
        <row r="99">
          <cell r="D99" t="str">
            <v>6018033301-CE</v>
          </cell>
          <cell r="E99" t="str">
            <v>FlashDetect™ Dengue virus type I II External Quality Control</v>
          </cell>
          <cell r="F99" t="str">
            <v>SPEC.B</v>
          </cell>
          <cell r="G99" t="str">
            <v>FlashDetect™ LyocartE Dengue virus type I/II Assay</v>
          </cell>
          <cell r="H99" t="str">
            <v>CE-IVD</v>
          </cell>
          <cell r="I99" t="str">
            <v>Class C</v>
          </cell>
          <cell r="J99">
            <v>20</v>
          </cell>
          <cell r="K99">
            <v>20</v>
          </cell>
        </row>
        <row r="100">
          <cell r="D100" t="str">
            <v>6018033501-CE</v>
          </cell>
          <cell r="E100" t="str">
            <v>FlashDetect™ Dengue virus type III IV External Quality Control</v>
          </cell>
          <cell r="F100" t="str">
            <v>SPEC.B</v>
          </cell>
          <cell r="G100" t="str">
            <v>FlashDetect™ LyocartE Dengue virus type III/IV Assay</v>
          </cell>
          <cell r="H100" t="str">
            <v>CE-IVD</v>
          </cell>
          <cell r="I100" t="str">
            <v>Class C</v>
          </cell>
          <cell r="J100">
            <v>20</v>
          </cell>
          <cell r="K100">
            <v>20</v>
          </cell>
        </row>
        <row r="101">
          <cell r="D101" t="str">
            <v>6018022105-CE</v>
          </cell>
          <cell r="E101" t="str">
            <v>FlashDetectTM Lyocart C. difficile Assay</v>
          </cell>
          <cell r="F101" t="str">
            <v>SPEC.B, 24 tests/kit</v>
          </cell>
          <cell r="G101" t="str">
            <v>Flash10/Nano</v>
          </cell>
          <cell r="H101" t="str">
            <v>CE-IVD</v>
          </cell>
          <cell r="I101" t="str">
            <v>Class B</v>
          </cell>
          <cell r="J101">
            <v>10</v>
          </cell>
          <cell r="K101">
            <v>240</v>
          </cell>
        </row>
        <row r="102">
          <cell r="D102" t="str">
            <v>6018013502-CE</v>
          </cell>
          <cell r="E102" t="str">
            <v>FlashDetectTM Lyocart HPV Assay</v>
          </cell>
          <cell r="F102" t="str">
            <v>SPEC.B, 24 tests/kit</v>
          </cell>
          <cell r="G102" t="str">
            <v>Flash10</v>
          </cell>
          <cell r="H102" t="str">
            <v>CE-IVD</v>
          </cell>
          <cell r="I102" t="str">
            <v>Class B</v>
          </cell>
          <cell r="J102">
            <v>10</v>
          </cell>
          <cell r="K102">
            <v>240</v>
          </cell>
        </row>
        <row r="103">
          <cell r="D103" t="str">
            <v>6018013505-CE</v>
          </cell>
          <cell r="E103" t="str">
            <v>FlashDetectTM Lyocart HPV Assay</v>
          </cell>
          <cell r="F103" t="str">
            <v>SPEC.B, 24 tests/kit</v>
          </cell>
          <cell r="G103" t="str">
            <v>Flash10</v>
          </cell>
          <cell r="H103" t="str">
            <v>CE-IVD</v>
          </cell>
          <cell r="I103" t="str">
            <v>Class B</v>
          </cell>
          <cell r="J103">
            <v>10</v>
          </cell>
          <cell r="K103">
            <v>240</v>
          </cell>
        </row>
        <row r="104">
          <cell r="D104" t="str">
            <v>6018021005-CE</v>
          </cell>
          <cell r="E104" t="str">
            <v>FlashDetectTM Lyocart Carba-R Assay</v>
          </cell>
          <cell r="F104" t="str">
            <v>SPEC.B, 24 tests/kit</v>
          </cell>
          <cell r="G104" t="str">
            <v>Flash10</v>
          </cell>
          <cell r="H104" t="str">
            <v>CE-IVD</v>
          </cell>
          <cell r="I104" t="str">
            <v>Class B</v>
          </cell>
          <cell r="K104">
            <v>264</v>
          </cell>
        </row>
        <row r="105">
          <cell r="D105" t="str">
            <v>6018021002-CE</v>
          </cell>
          <cell r="E105" t="str">
            <v>FlashDetectTM Lyocart Carba-R Assay</v>
          </cell>
          <cell r="F105" t="str">
            <v>SPEC.A, 24 tests/kit </v>
          </cell>
          <cell r="G105" t="str">
            <v>Flash10</v>
          </cell>
          <cell r="H105" t="str">
            <v>CE-IVD</v>
          </cell>
          <cell r="I105" t="str">
            <v>Class B</v>
          </cell>
          <cell r="J105">
            <v>11</v>
          </cell>
          <cell r="K105">
            <v>264</v>
          </cell>
        </row>
        <row r="106">
          <cell r="D106" t="str">
            <v>6018032402-CE</v>
          </cell>
          <cell r="E106" t="str">
            <v>COYOTE® CCTS™  </v>
          </cell>
          <cell r="F106" t="str">
            <v>25 pcs/box</v>
          </cell>
          <cell r="G106" t="str">
            <v>Microbial Sample Collection Kit (Sample preservation buffer)</v>
          </cell>
          <cell r="H106" t="str">
            <v>CE-IVD</v>
          </cell>
          <cell r="I106" t="str">
            <v>Class A</v>
          </cell>
          <cell r="J106" t="str">
            <v>FOC</v>
          </cell>
          <cell r="K106" t="str">
            <v>FOC</v>
          </cell>
        </row>
        <row r="107">
          <cell r="D107" t="str">
            <v>6018032406-CE</v>
          </cell>
          <cell r="E107" t="str">
            <v>COYOTE® CCTS™  </v>
          </cell>
          <cell r="F107" t="str">
            <v>25 pcs/box</v>
          </cell>
          <cell r="G107" t="str">
            <v xml:space="preserve">Sample preservation buffer </v>
          </cell>
          <cell r="H107" t="str">
            <v>CE-IVD</v>
          </cell>
          <cell r="I107" t="str">
            <v>Class A</v>
          </cell>
          <cell r="J107" t="str">
            <v>FOC</v>
          </cell>
          <cell r="K107" t="str">
            <v>FOC</v>
          </cell>
        </row>
        <row r="108">
          <cell r="D108" t="str">
            <v>6018032407-CE</v>
          </cell>
          <cell r="E108" t="str">
            <v xml:space="preserve">COYOTE® CCTS™  </v>
          </cell>
          <cell r="F108" t="str">
            <v>100 pcs/box</v>
          </cell>
          <cell r="G108" t="str">
            <v>Sample preservation buffer</v>
          </cell>
          <cell r="H108" t="str">
            <v>CE-IVD</v>
          </cell>
          <cell r="I108" t="str">
            <v>Class A</v>
          </cell>
          <cell r="J108" t="str">
            <v>FOC</v>
          </cell>
          <cell r="K108" t="str">
            <v>FOC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3B69-D8D9-4ABE-8527-F15E7A035CDC}">
  <dimension ref="A1:G18"/>
  <sheetViews>
    <sheetView showGridLines="0" workbookViewId="0">
      <selection activeCell="G6" sqref="G6"/>
    </sheetView>
  </sheetViews>
  <sheetFormatPr defaultColWidth="12" defaultRowHeight="12"/>
  <cols>
    <col min="1" max="1" width="17.109375" style="1" customWidth="1"/>
    <col min="2" max="2" width="48.77734375" style="1" customWidth="1"/>
    <col min="3" max="3" width="28.88671875" style="1" customWidth="1"/>
    <col min="4" max="4" width="30.88671875" style="1" customWidth="1"/>
    <col min="5" max="5" width="12" style="1"/>
    <col min="6" max="6" width="44.5546875" style="1" customWidth="1"/>
    <col min="7" max="8" width="17.5546875" style="1" customWidth="1"/>
    <col min="9" max="9" width="22.21875" style="1" customWidth="1"/>
    <col min="10" max="10" width="12" style="1"/>
    <col min="11" max="11" width="45.44140625" style="1" customWidth="1"/>
    <col min="12" max="16384" width="12" style="1"/>
  </cols>
  <sheetData>
    <row r="1" spans="1:7" ht="28.2" customHeight="1">
      <c r="A1" s="20" t="s">
        <v>258</v>
      </c>
    </row>
    <row r="2" spans="1:7">
      <c r="A2" s="21" t="s">
        <v>0</v>
      </c>
      <c r="B2" s="22" t="s">
        <v>1</v>
      </c>
      <c r="C2" s="23" t="s">
        <v>10</v>
      </c>
      <c r="D2" s="24" t="s">
        <v>254</v>
      </c>
    </row>
    <row r="3" spans="1:7">
      <c r="A3" s="21" t="s">
        <v>2</v>
      </c>
      <c r="B3" s="25" t="s">
        <v>259</v>
      </c>
      <c r="C3" s="23" t="s">
        <v>11</v>
      </c>
      <c r="D3" s="26" t="s">
        <v>12</v>
      </c>
    </row>
    <row r="4" spans="1:7" ht="13.2">
      <c r="A4" s="23" t="s">
        <v>3</v>
      </c>
      <c r="B4" s="26" t="s">
        <v>260</v>
      </c>
      <c r="C4" s="23" t="s">
        <v>249</v>
      </c>
      <c r="D4" s="27" t="s">
        <v>250</v>
      </c>
    </row>
    <row r="5" spans="1:7" ht="13.2">
      <c r="A5" s="23" t="s">
        <v>4</v>
      </c>
      <c r="B5" s="26"/>
      <c r="C5" s="23" t="s">
        <v>255</v>
      </c>
      <c r="D5" s="28" t="s">
        <v>256</v>
      </c>
    </row>
    <row r="6" spans="1:7" ht="13.2">
      <c r="A6" s="23" t="s">
        <v>5</v>
      </c>
      <c r="B6" s="26" t="s">
        <v>6</v>
      </c>
      <c r="C6" s="23" t="s">
        <v>251</v>
      </c>
      <c r="D6" s="28" t="s">
        <v>252</v>
      </c>
    </row>
    <row r="7" spans="1:7">
      <c r="A7" s="23" t="s">
        <v>7</v>
      </c>
      <c r="B7" s="26" t="s">
        <v>8</v>
      </c>
      <c r="C7" s="29"/>
      <c r="D7" s="29"/>
    </row>
    <row r="8" spans="1:7" ht="13.2">
      <c r="A8" s="23" t="s">
        <v>9</v>
      </c>
      <c r="B8" s="27" t="s">
        <v>253</v>
      </c>
      <c r="C8" s="23" t="s">
        <v>13</v>
      </c>
      <c r="D8" s="29"/>
    </row>
    <row r="9" spans="1:7">
      <c r="A9" s="23"/>
      <c r="B9" s="26"/>
      <c r="C9" s="23" t="s">
        <v>14</v>
      </c>
      <c r="D9" s="29"/>
    </row>
    <row r="13" spans="1:7">
      <c r="A13" s="30" t="s">
        <v>15</v>
      </c>
      <c r="B13" s="30" t="s">
        <v>16</v>
      </c>
      <c r="C13" s="30" t="s">
        <v>17</v>
      </c>
      <c r="D13" s="30" t="s">
        <v>18</v>
      </c>
      <c r="E13" s="30" t="s">
        <v>19</v>
      </c>
      <c r="F13" s="30" t="s">
        <v>20</v>
      </c>
      <c r="G13" s="2"/>
    </row>
    <row r="14" spans="1:7">
      <c r="A14" s="31">
        <v>111</v>
      </c>
      <c r="B14" s="32" t="s">
        <v>21</v>
      </c>
      <c r="C14" s="33" t="s">
        <v>261</v>
      </c>
      <c r="D14" s="34"/>
      <c r="E14" s="35"/>
      <c r="F14" s="29"/>
    </row>
    <row r="15" spans="1:7" ht="14.4">
      <c r="A15" s="31">
        <v>111</v>
      </c>
      <c r="B15" s="29" t="s">
        <v>22</v>
      </c>
      <c r="C15" s="33" t="s">
        <v>262</v>
      </c>
      <c r="D15" s="29"/>
      <c r="E15" s="36" t="s">
        <v>257</v>
      </c>
      <c r="F15" s="29"/>
      <c r="G15" s="3"/>
    </row>
    <row r="16" spans="1:7" ht="14.4">
      <c r="A16" s="31">
        <v>111</v>
      </c>
      <c r="B16" s="37" t="s">
        <v>23</v>
      </c>
      <c r="C16" s="33" t="s">
        <v>263</v>
      </c>
      <c r="D16" s="29"/>
      <c r="E16" s="36" t="s">
        <v>257</v>
      </c>
      <c r="F16" s="34"/>
      <c r="G16" s="4"/>
    </row>
    <row r="17" spans="1:7" ht="13.8">
      <c r="A17" s="31">
        <v>111</v>
      </c>
      <c r="B17" s="29"/>
      <c r="C17" s="33" t="s">
        <v>264</v>
      </c>
      <c r="D17" s="29"/>
      <c r="E17" s="34" t="s">
        <v>24</v>
      </c>
      <c r="F17" s="35"/>
      <c r="G17" s="3"/>
    </row>
    <row r="18" spans="1:7">
      <c r="E18" s="3"/>
      <c r="F18" s="3"/>
      <c r="G18" s="3"/>
    </row>
  </sheetData>
  <phoneticPr fontId="3" type="noConversion"/>
  <dataValidations count="1">
    <dataValidation type="list" allowBlank="1" showInputMessage="1" showErrorMessage="1" sqref="B3" xr:uid="{C26E9E28-6A89-4BE0-A852-8894F581B33A}">
      <formula1>"A  ≥1.5M, B 1M-1.5M, C  0.5M-1M, D 小于5M"</formula1>
    </dataValidation>
  </dataValidations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F147-A3B1-41EE-95FB-9141127FC35A}">
  <dimension ref="A1:H113"/>
  <sheetViews>
    <sheetView tabSelected="1" topLeftCell="A102" workbookViewId="0">
      <selection activeCell="E113" sqref="E113"/>
    </sheetView>
  </sheetViews>
  <sheetFormatPr defaultRowHeight="15"/>
  <cols>
    <col min="1" max="1" width="10.88671875" style="7" customWidth="1"/>
    <col min="2" max="2" width="17.6640625" style="6" customWidth="1"/>
    <col min="3" max="3" width="47.109375" style="7" customWidth="1"/>
    <col min="4" max="4" width="37.77734375" style="7" customWidth="1"/>
    <col min="5" max="5" width="16.88671875" style="7" customWidth="1"/>
    <col min="6" max="6" width="14.88671875" style="7" customWidth="1"/>
    <col min="7" max="7" width="22" style="7" customWidth="1"/>
    <col min="8" max="16384" width="8.88671875" style="7"/>
  </cols>
  <sheetData>
    <row r="1" spans="1:8" ht="15.6">
      <c r="A1" s="5" t="s">
        <v>25</v>
      </c>
      <c r="C1" s="5"/>
      <c r="F1" s="8" t="s">
        <v>26</v>
      </c>
      <c r="G1" s="7" t="s">
        <v>12</v>
      </c>
    </row>
    <row r="2" spans="1:8" s="12" customFormat="1" ht="24">
      <c r="A2" s="9" t="s">
        <v>27</v>
      </c>
      <c r="B2" s="9" t="s">
        <v>28</v>
      </c>
      <c r="C2" s="10" t="s">
        <v>29</v>
      </c>
      <c r="D2" s="11" t="s">
        <v>30</v>
      </c>
      <c r="E2" s="10" t="s">
        <v>31</v>
      </c>
      <c r="F2" s="10" t="s">
        <v>32</v>
      </c>
      <c r="G2" s="10" t="s">
        <v>33</v>
      </c>
      <c r="H2" s="10" t="s">
        <v>34</v>
      </c>
    </row>
    <row r="3" spans="1:8">
      <c r="A3" s="13">
        <v>59390</v>
      </c>
      <c r="B3" s="13">
        <v>2004009001</v>
      </c>
      <c r="C3" s="14" t="str">
        <f>VLOOKUP(B3,[1]list!$A:$B,2,FALSE)</f>
        <v xml:space="preserve">FlashDetect™ Flash10 System </v>
      </c>
      <c r="D3" s="15" t="s">
        <v>35</v>
      </c>
      <c r="E3" s="16">
        <v>100</v>
      </c>
      <c r="F3" s="16">
        <f>VLOOKUP(B3,[2]LIST!$D:$K,7,FALSE)</f>
        <v>14000</v>
      </c>
    </row>
    <row r="4" spans="1:8">
      <c r="A4" s="13">
        <v>59391</v>
      </c>
      <c r="B4" s="13">
        <v>2004009202</v>
      </c>
      <c r="C4" s="14" t="str">
        <f>VLOOKUP(B4,[1]list!$A:$B,2,FALSE)</f>
        <v>FlashDetect™ Nano System （带加热模块)</v>
      </c>
      <c r="D4" s="15" t="s">
        <v>36</v>
      </c>
      <c r="E4" s="16">
        <v>100</v>
      </c>
      <c r="F4" s="16">
        <f>VLOOKUP(B4,[2]LIST!$D:$K,7,FALSE)</f>
        <v>7000</v>
      </c>
    </row>
    <row r="5" spans="1:8">
      <c r="A5" s="13">
        <v>59393</v>
      </c>
      <c r="B5" s="13" t="s">
        <v>37</v>
      </c>
      <c r="C5" s="14" t="str">
        <f>VLOOKUP(B5,[1]list!$A:$B,2,FALSE)</f>
        <v>FlashDetect™ LyocartD SARS-CoV-2 Assay</v>
      </c>
      <c r="D5" s="15" t="s">
        <v>38</v>
      </c>
      <c r="E5" s="16">
        <v>100</v>
      </c>
      <c r="F5" s="16">
        <f>VLOOKUP(B5,[2]LIST!$D:$K,7,FALSE)</f>
        <v>8</v>
      </c>
    </row>
    <row r="6" spans="1:8">
      <c r="A6" s="13">
        <v>59394</v>
      </c>
      <c r="B6" s="13" t="s">
        <v>39</v>
      </c>
      <c r="C6" s="14" t="str">
        <f>VLOOKUP(B6,[1]list!$A:$B,2,FALSE)</f>
        <v xml:space="preserve">FlashDetect™ LyocartD SARS-CoV-2 Assay </v>
      </c>
      <c r="D6" s="15" t="s">
        <v>40</v>
      </c>
      <c r="E6" s="16">
        <v>100</v>
      </c>
      <c r="F6" s="16">
        <f>VLOOKUP(B6,[2]LIST!$D:$K,7,FALSE)</f>
        <v>8</v>
      </c>
    </row>
    <row r="7" spans="1:8">
      <c r="A7" s="13">
        <v>59395</v>
      </c>
      <c r="B7" s="13" t="s">
        <v>41</v>
      </c>
      <c r="C7" s="14" t="str">
        <f>VLOOKUP(B7,[1]list!$A:$B,2,FALSE)</f>
        <v>FlashDetect™ LyocartE SARS-CoV-2 Assay</v>
      </c>
      <c r="D7" s="15" t="s">
        <v>42</v>
      </c>
      <c r="E7" s="16">
        <v>100</v>
      </c>
      <c r="F7" s="16">
        <f>VLOOKUP(B7,[2]LIST!$D:$K,7,FALSE)</f>
        <v>8</v>
      </c>
    </row>
    <row r="8" spans="1:8">
      <c r="A8" s="13">
        <v>59396</v>
      </c>
      <c r="B8" s="13" t="s">
        <v>43</v>
      </c>
      <c r="C8" s="14" t="str">
        <f>VLOOKUP(B8,[1]list!$A:$B,2,FALSE)</f>
        <v>FlashDetect™ LyocartE SARS-CoV-2 Assay</v>
      </c>
      <c r="D8" s="15" t="s">
        <v>44</v>
      </c>
      <c r="E8" s="16">
        <v>100</v>
      </c>
      <c r="F8" s="16">
        <f>VLOOKUP(B8,[2]LIST!$D:$K,7,FALSE)</f>
        <v>8</v>
      </c>
    </row>
    <row r="9" spans="1:8">
      <c r="A9" s="13">
        <v>59397</v>
      </c>
      <c r="B9" s="13" t="s">
        <v>45</v>
      </c>
      <c r="C9" s="14" t="str">
        <f>VLOOKUP(B9,[1]list!$A:$B,2,FALSE)</f>
        <v>FlashDetect™ LyocartD SARS-CoV-2&amp;Flu A&amp;Flu B Assay</v>
      </c>
      <c r="D9" s="15" t="s">
        <v>46</v>
      </c>
      <c r="E9" s="16">
        <v>100</v>
      </c>
      <c r="F9" s="16">
        <f>VLOOKUP(B9,[2]LIST!$D:$K,7,FALSE)</f>
        <v>10</v>
      </c>
    </row>
    <row r="10" spans="1:8">
      <c r="A10" s="13">
        <v>59398</v>
      </c>
      <c r="B10" s="13" t="s">
        <v>47</v>
      </c>
      <c r="C10" s="14" t="str">
        <f>VLOOKUP(B10,[1]list!$A:$B,2,FALSE)</f>
        <v>FlashDetect™ LyocartD SARS-CoV-2&amp;Flu A&amp;Flu B Assay</v>
      </c>
      <c r="D10" s="15" t="s">
        <v>48</v>
      </c>
      <c r="E10" s="16">
        <v>100</v>
      </c>
      <c r="F10" s="16">
        <f>VLOOKUP(B10,[2]LIST!$D:$K,7,FALSE)</f>
        <v>10</v>
      </c>
    </row>
    <row r="11" spans="1:8">
      <c r="A11" s="13">
        <v>59399</v>
      </c>
      <c r="B11" s="13" t="s">
        <v>49</v>
      </c>
      <c r="C11" s="14" t="str">
        <f>VLOOKUP(B11,[1]list!$A:$B,2,FALSE)</f>
        <v>FlashDetect™ LyocartE SARS-CoV-2&amp;Flu A&amp;Flu B Assay</v>
      </c>
      <c r="D11" s="15" t="s">
        <v>50</v>
      </c>
      <c r="E11" s="16">
        <v>100</v>
      </c>
      <c r="F11" s="16">
        <f>VLOOKUP(B11,[2]LIST!$D:$K,7,FALSE)</f>
        <v>10</v>
      </c>
    </row>
    <row r="12" spans="1:8">
      <c r="A12" s="13">
        <v>59400</v>
      </c>
      <c r="B12" s="13" t="s">
        <v>51</v>
      </c>
      <c r="C12" s="14" t="str">
        <f>VLOOKUP(B12,[1]list!$A:$B,2,FALSE)</f>
        <v>FlashDetect™ LyocartE SARS-CoV-2&amp;Flu A&amp;Flu B Assay</v>
      </c>
      <c r="D12" s="15" t="s">
        <v>52</v>
      </c>
      <c r="E12" s="16">
        <v>100</v>
      </c>
      <c r="F12" s="16">
        <f>VLOOKUP(B12,[2]LIST!$D:$K,7,FALSE)</f>
        <v>10</v>
      </c>
    </row>
    <row r="13" spans="1:8">
      <c r="A13" s="13">
        <v>59401</v>
      </c>
      <c r="B13" s="13" t="s">
        <v>53</v>
      </c>
      <c r="C13" s="14" t="str">
        <f>VLOOKUP(B13,[1]list!$A:$B,2,FALSE)</f>
        <v>FlashDetect™ LyocartD FluA&amp;FluB&amp;RSV Assay</v>
      </c>
      <c r="D13" s="15" t="s">
        <v>54</v>
      </c>
      <c r="E13" s="16">
        <v>100</v>
      </c>
      <c r="F13" s="16">
        <f>VLOOKUP(B13,[2]LIST!$D:$K,7,FALSE)</f>
        <v>10</v>
      </c>
    </row>
    <row r="14" spans="1:8">
      <c r="A14" s="13">
        <v>59402</v>
      </c>
      <c r="B14" s="13" t="s">
        <v>55</v>
      </c>
      <c r="C14" s="14" t="str">
        <f>VLOOKUP(B14,[1]list!$A:$B,2,FALSE)</f>
        <v>FlashDetect™ LyocartD FluA&amp;FluB&amp;RSV Assay</v>
      </c>
      <c r="D14" s="15" t="s">
        <v>56</v>
      </c>
      <c r="E14" s="16">
        <v>100</v>
      </c>
      <c r="F14" s="16">
        <f>VLOOKUP(B14,[2]LIST!$D:$K,7,FALSE)</f>
        <v>10</v>
      </c>
    </row>
    <row r="15" spans="1:8">
      <c r="A15" s="13">
        <v>59403</v>
      </c>
      <c r="B15" s="13" t="s">
        <v>57</v>
      </c>
      <c r="C15" s="14" t="str">
        <f>VLOOKUP(B15,[1]list!$A:$B,2,FALSE)</f>
        <v>FlashDetect™ LyocartE FluA&amp;FluB&amp;RSV Assay</v>
      </c>
      <c r="D15" s="15" t="s">
        <v>58</v>
      </c>
      <c r="E15" s="16">
        <v>100</v>
      </c>
      <c r="F15" s="16">
        <f>VLOOKUP(B15,[2]LIST!$D:$K,7,FALSE)</f>
        <v>10</v>
      </c>
    </row>
    <row r="16" spans="1:8">
      <c r="A16" s="13">
        <v>59404</v>
      </c>
      <c r="B16" s="13" t="s">
        <v>59</v>
      </c>
      <c r="C16" s="14" t="str">
        <f>VLOOKUP(B16,[1]list!$A:$B,2,FALSE)</f>
        <v>FlashDetect™ LyocartE FluA&amp;FluB&amp;RSV Assay</v>
      </c>
      <c r="D16" s="15" t="s">
        <v>60</v>
      </c>
      <c r="E16" s="16">
        <v>100</v>
      </c>
      <c r="F16" s="16">
        <f>VLOOKUP(B16,[2]LIST!$D:$K,7,FALSE)</f>
        <v>10</v>
      </c>
    </row>
    <row r="17" spans="1:6">
      <c r="A17" s="13">
        <v>59405</v>
      </c>
      <c r="B17" s="13" t="s">
        <v>61</v>
      </c>
      <c r="C17" s="14" t="str">
        <f>VLOOKUP(B17,[1]list!$A:$B,2,FALSE)</f>
        <v xml:space="preserve">FlashDetect™ LyocartD MG&amp;TV&amp;MH Assay </v>
      </c>
      <c r="D17" s="15" t="s">
        <v>62</v>
      </c>
      <c r="E17" s="16">
        <v>100</v>
      </c>
      <c r="F17" s="16">
        <f>VLOOKUP(B17,[2]LIST!$D:$K,7,FALSE)</f>
        <v>10</v>
      </c>
    </row>
    <row r="18" spans="1:6">
      <c r="A18" s="13">
        <v>59406</v>
      </c>
      <c r="B18" s="13" t="s">
        <v>63</v>
      </c>
      <c r="C18" s="14" t="str">
        <f>VLOOKUP(B18,[1]list!$A:$B,2,FALSE)</f>
        <v xml:space="preserve">FlashDetect™ LyocartD MG&amp;TV&amp;MH Assay </v>
      </c>
      <c r="D18" s="15" t="s">
        <v>64</v>
      </c>
      <c r="E18" s="16">
        <v>100</v>
      </c>
      <c r="F18" s="16">
        <f>VLOOKUP(B18,[2]LIST!$D:$K,7,FALSE)</f>
        <v>10</v>
      </c>
    </row>
    <row r="19" spans="1:6">
      <c r="A19" s="13">
        <v>59407</v>
      </c>
      <c r="B19" s="13" t="s">
        <v>65</v>
      </c>
      <c r="C19" s="14" t="str">
        <f>VLOOKUP(B19,[1]list!$A:$B,2,FALSE)</f>
        <v xml:space="preserve">FlashDetect™ LyocartE MG&amp;TV&amp;MH Assay </v>
      </c>
      <c r="D19" s="15" t="s">
        <v>66</v>
      </c>
      <c r="E19" s="16">
        <v>100</v>
      </c>
      <c r="F19" s="16">
        <f>VLOOKUP(B19,[2]LIST!$D:$K,7,FALSE)</f>
        <v>10</v>
      </c>
    </row>
    <row r="20" spans="1:6">
      <c r="A20" s="13">
        <v>59408</v>
      </c>
      <c r="B20" s="13" t="s">
        <v>67</v>
      </c>
      <c r="C20" s="14" t="str">
        <f>VLOOKUP(B20,[1]list!$A:$B,2,FALSE)</f>
        <v xml:space="preserve">FlashDetect™ LyocartE MG&amp;TV&amp;MH Assay </v>
      </c>
      <c r="D20" s="15" t="s">
        <v>68</v>
      </c>
      <c r="E20" s="16">
        <v>100</v>
      </c>
      <c r="F20" s="16">
        <f>VLOOKUP(B20,[2]LIST!$D:$K,7,FALSE)</f>
        <v>10</v>
      </c>
    </row>
    <row r="21" spans="1:6">
      <c r="A21" s="13">
        <v>59409</v>
      </c>
      <c r="B21" s="13" t="s">
        <v>69</v>
      </c>
      <c r="C21" s="14" t="str">
        <f>VLOOKUP(B21,[1]list!$A:$B,2,FALSE)</f>
        <v xml:space="preserve">FlashDetect™ LyocartD CT&amp;NG&amp;UU Assay </v>
      </c>
      <c r="D21" s="15" t="s">
        <v>70</v>
      </c>
      <c r="E21" s="16">
        <v>100</v>
      </c>
      <c r="F21" s="16">
        <f>VLOOKUP(B21,[2]LIST!$D:$K,7,FALSE)</f>
        <v>10</v>
      </c>
    </row>
    <row r="22" spans="1:6">
      <c r="A22" s="13">
        <v>59410</v>
      </c>
      <c r="B22" s="13" t="s">
        <v>71</v>
      </c>
      <c r="C22" s="14" t="str">
        <f>VLOOKUP(B22,[1]list!$A:$B,2,FALSE)</f>
        <v xml:space="preserve">FlashDetect™ LyocartD CT&amp;NG&amp;UU Assay </v>
      </c>
      <c r="D22" s="15" t="s">
        <v>72</v>
      </c>
      <c r="E22" s="16">
        <v>100</v>
      </c>
      <c r="F22" s="16">
        <f>VLOOKUP(B22,[2]LIST!$D:$K,7,FALSE)</f>
        <v>10</v>
      </c>
    </row>
    <row r="23" spans="1:6">
      <c r="A23" s="13">
        <v>59411</v>
      </c>
      <c r="B23" s="13" t="s">
        <v>73</v>
      </c>
      <c r="C23" s="14" t="str">
        <f>VLOOKUP(B23,[1]list!$A:$B,2,FALSE)</f>
        <v>FlashDetect™ LyocartD NG&amp;UU Assay</v>
      </c>
      <c r="D23" s="15" t="s">
        <v>74</v>
      </c>
      <c r="E23" s="16">
        <v>100</v>
      </c>
      <c r="F23" s="16">
        <f>VLOOKUP(B23,[2]LIST!$D:$K,7,FALSE)</f>
        <v>10</v>
      </c>
    </row>
    <row r="24" spans="1:6">
      <c r="A24" s="13">
        <v>59412</v>
      </c>
      <c r="B24" s="13" t="s">
        <v>75</v>
      </c>
      <c r="C24" s="14" t="str">
        <f>VLOOKUP(B24,[1]list!$A:$B,2,FALSE)</f>
        <v>FlashDetect™ LyocartD NG&amp;UU Assay</v>
      </c>
      <c r="D24" s="15" t="s">
        <v>76</v>
      </c>
      <c r="E24" s="16">
        <v>100</v>
      </c>
      <c r="F24" s="16">
        <f>VLOOKUP(B24,[2]LIST!$D:$K,7,FALSE)</f>
        <v>10</v>
      </c>
    </row>
    <row r="25" spans="1:6">
      <c r="A25" s="13">
        <v>59413</v>
      </c>
      <c r="B25" s="13" t="s">
        <v>77</v>
      </c>
      <c r="C25" s="14" t="str">
        <f>VLOOKUP(B25,[1]list!$A:$B,2,FALSE)</f>
        <v xml:space="preserve">FlashDetect™ LyocartD HSV-1&amp;HSV-2 Assay </v>
      </c>
      <c r="D25" s="15" t="s">
        <v>78</v>
      </c>
      <c r="E25" s="16">
        <v>100</v>
      </c>
      <c r="F25" s="16">
        <f>VLOOKUP(B25,[2]LIST!$D:$K,7,FALSE)</f>
        <v>10</v>
      </c>
    </row>
    <row r="26" spans="1:6">
      <c r="A26" s="13">
        <v>59414</v>
      </c>
      <c r="B26" s="13" t="s">
        <v>79</v>
      </c>
      <c r="C26" s="14" t="str">
        <f>VLOOKUP(B26,[1]list!$A:$B,2,FALSE)</f>
        <v xml:space="preserve">FlashDetect™ LyocartD HSV-1&amp;HSV-2 Assay </v>
      </c>
      <c r="D26" s="15" t="s">
        <v>80</v>
      </c>
      <c r="E26" s="16">
        <v>100</v>
      </c>
      <c r="F26" s="16">
        <f>VLOOKUP(B26,[2]LIST!$D:$K,7,FALSE)</f>
        <v>10</v>
      </c>
    </row>
    <row r="27" spans="1:6">
      <c r="A27" s="13">
        <v>59415</v>
      </c>
      <c r="B27" s="13" t="s">
        <v>81</v>
      </c>
      <c r="C27" s="14" t="str">
        <f>VLOOKUP(B27,[1]list!$A:$B,2,FALSE)</f>
        <v xml:space="preserve">FlashDetect™ LyocartE HSV-1&amp;HSV-2 Assay </v>
      </c>
      <c r="D27" s="15" t="s">
        <v>82</v>
      </c>
      <c r="E27" s="16">
        <v>100</v>
      </c>
      <c r="F27" s="16">
        <f>VLOOKUP(B27,[2]LIST!$D:$K,7,FALSE)</f>
        <v>10</v>
      </c>
    </row>
    <row r="28" spans="1:6">
      <c r="A28" s="13">
        <v>59416</v>
      </c>
      <c r="B28" s="13" t="s">
        <v>83</v>
      </c>
      <c r="C28" s="14" t="str">
        <f>VLOOKUP(B28,[1]list!$A:$B,2,FALSE)</f>
        <v xml:space="preserve">FlashDetect™ LyocartE HSV-1&amp;HSV-2 Assay </v>
      </c>
      <c r="D28" s="15" t="s">
        <v>84</v>
      </c>
      <c r="E28" s="16">
        <v>100</v>
      </c>
      <c r="F28" s="16">
        <f>VLOOKUP(B28,[2]LIST!$D:$K,7,FALSE)</f>
        <v>10</v>
      </c>
    </row>
    <row r="29" spans="1:6">
      <c r="A29" s="13">
        <v>59417</v>
      </c>
      <c r="B29" s="13" t="s">
        <v>85</v>
      </c>
      <c r="C29" s="14" t="str">
        <f>VLOOKUP(B29,[1]list!$A:$B,2,FALSE)</f>
        <v>FlashDetect™ LyocartE HSV-1&amp;HSV-2&amp;VZV Assay</v>
      </c>
      <c r="D29" s="15" t="s">
        <v>86</v>
      </c>
      <c r="E29" s="16">
        <v>100</v>
      </c>
      <c r="F29" s="16">
        <f>VLOOKUP(B29,[2]LIST!$D:$K,7,FALSE)</f>
        <v>10</v>
      </c>
    </row>
    <row r="30" spans="1:6">
      <c r="A30" s="13">
        <v>59418</v>
      </c>
      <c r="B30" s="13" t="s">
        <v>87</v>
      </c>
      <c r="C30" s="14" t="str">
        <f>VLOOKUP(B30,[1]list!$A:$B,2,FALSE)</f>
        <v>FlashDetect™ LyocartE HSV-1&amp;HSV-2&amp;VZV Assay</v>
      </c>
      <c r="D30" s="15" t="s">
        <v>88</v>
      </c>
      <c r="E30" s="16">
        <v>100</v>
      </c>
      <c r="F30" s="16">
        <f>VLOOKUP(B30,[2]LIST!$D:$K,7,FALSE)</f>
        <v>10</v>
      </c>
    </row>
    <row r="31" spans="1:6">
      <c r="A31" s="13">
        <v>59419</v>
      </c>
      <c r="B31" s="13" t="s">
        <v>89</v>
      </c>
      <c r="C31" s="14" t="str">
        <f>VLOOKUP(B31,[1]list!$A:$B,2,FALSE)</f>
        <v xml:space="preserve">FlashDetect™ LyocartE Dengue virus type I/II Assay </v>
      </c>
      <c r="D31" s="15" t="s">
        <v>90</v>
      </c>
      <c r="E31" s="16">
        <v>100</v>
      </c>
      <c r="F31" s="16">
        <f>VLOOKUP(B31,[2]LIST!$D:$K,7,FALSE)</f>
        <v>10</v>
      </c>
    </row>
    <row r="32" spans="1:6">
      <c r="A32" s="13">
        <v>59420</v>
      </c>
      <c r="B32" s="13" t="s">
        <v>91</v>
      </c>
      <c r="C32" s="14" t="str">
        <f>VLOOKUP(B32,[1]list!$A:$B,2,FALSE)</f>
        <v>FlashDetect™ LyocartE Dengue virus type III/IV Assay</v>
      </c>
      <c r="D32" s="15" t="s">
        <v>92</v>
      </c>
      <c r="E32" s="16">
        <v>100</v>
      </c>
      <c r="F32" s="16">
        <f>VLOOKUP(B32,[2]LIST!$D:$K,7,FALSE)</f>
        <v>10</v>
      </c>
    </row>
    <row r="33" spans="1:6">
      <c r="A33" s="13">
        <v>59421</v>
      </c>
      <c r="B33" s="13" t="s">
        <v>93</v>
      </c>
      <c r="C33" s="14" t="str">
        <f>VLOOKUP(B33,[1]list!$A:$B,2,FALSE)</f>
        <v>FlashDetect™ LyocartE SARS-CoV-2&amp;FluA&amp;FluB&amp;RSV Assay</v>
      </c>
      <c r="D33" s="15" t="s">
        <v>94</v>
      </c>
      <c r="E33" s="16">
        <v>100</v>
      </c>
      <c r="F33" s="16">
        <f>VLOOKUP(B33,[2]LIST!$D:$K,7,FALSE)</f>
        <v>11</v>
      </c>
    </row>
    <row r="34" spans="1:6">
      <c r="A34" s="13">
        <v>59422</v>
      </c>
      <c r="B34" s="13" t="s">
        <v>95</v>
      </c>
      <c r="C34" s="14" t="str">
        <f>VLOOKUP(B34,[1]list!$A:$B,2,FALSE)</f>
        <v>FlashDetect™ LyocartE SARS-CoV-2&amp;FluA&amp;FluB&amp;RSV Assay</v>
      </c>
      <c r="D34" s="15" t="s">
        <v>96</v>
      </c>
      <c r="E34" s="16">
        <v>100</v>
      </c>
      <c r="F34" s="16">
        <f>VLOOKUP(B34,[2]LIST!$D:$K,7,FALSE)</f>
        <v>11</v>
      </c>
    </row>
    <row r="35" spans="1:6">
      <c r="A35" s="13">
        <v>59423</v>
      </c>
      <c r="B35" s="13" t="s">
        <v>97</v>
      </c>
      <c r="C35" s="14" t="str">
        <f>VLOOKUP(B35,[1]list!$A:$B,2,FALSE)</f>
        <v>FlashDetect™ LyocartE MRSA/SA Assay</v>
      </c>
      <c r="D35" s="15" t="s">
        <v>98</v>
      </c>
      <c r="E35" s="16">
        <v>100</v>
      </c>
      <c r="F35" s="16">
        <f>VLOOKUP(B35,[2]LIST!$D:$K,7,FALSE)</f>
        <v>9</v>
      </c>
    </row>
    <row r="36" spans="1:6">
      <c r="A36" s="13">
        <v>59424</v>
      </c>
      <c r="B36" s="13" t="s">
        <v>99</v>
      </c>
      <c r="C36" s="14" t="str">
        <f>VLOOKUP(B36,[1]list!$A:$B,2,FALSE)</f>
        <v>FlashDetect™ LyocartE MRSA/SA Assay</v>
      </c>
      <c r="D36" s="15" t="s">
        <v>100</v>
      </c>
      <c r="E36" s="16">
        <v>100</v>
      </c>
      <c r="F36" s="16">
        <f>VLOOKUP(B36,[2]LIST!$D:$K,7,FALSE)</f>
        <v>9</v>
      </c>
    </row>
    <row r="37" spans="1:6">
      <c r="A37" s="13">
        <v>59425</v>
      </c>
      <c r="B37" s="13" t="s">
        <v>101</v>
      </c>
      <c r="C37" s="14" t="str">
        <f>VLOOKUP(B37,[1]list!$A:$B,2,FALSE)</f>
        <v>FlashDetect™ LyocartE RSV&amp;MP&amp;ADV Assay</v>
      </c>
      <c r="D37" s="15" t="s">
        <v>102</v>
      </c>
      <c r="E37" s="16">
        <v>100</v>
      </c>
      <c r="F37" s="16">
        <f>VLOOKUP(B37,[2]LIST!$D:$K,7,FALSE)</f>
        <v>10</v>
      </c>
    </row>
    <row r="38" spans="1:6">
      <c r="A38" s="13">
        <v>59426</v>
      </c>
      <c r="B38" s="13" t="s">
        <v>103</v>
      </c>
      <c r="C38" s="14" t="str">
        <f>VLOOKUP(B38,[1]list!$A:$B,2,FALSE)</f>
        <v>FlashDetect™ LyocartE RSV&amp;MP&amp;ADV Assay</v>
      </c>
      <c r="D38" s="15" t="s">
        <v>104</v>
      </c>
      <c r="E38" s="16">
        <v>100</v>
      </c>
      <c r="F38" s="16">
        <f>VLOOKUP(B38,[2]LIST!$D:$K,7,FALSE)</f>
        <v>10</v>
      </c>
    </row>
    <row r="39" spans="1:6">
      <c r="A39" s="13">
        <v>59427</v>
      </c>
      <c r="B39" s="13" t="s">
        <v>105</v>
      </c>
      <c r="C39" s="14" t="str">
        <f>VLOOKUP(B39,[1]list!$A:$B,2,FALSE)</f>
        <v>FlashDetect™ LyocartE Norovirus GI/GII Assay</v>
      </c>
      <c r="D39" s="15" t="s">
        <v>106</v>
      </c>
      <c r="E39" s="16">
        <v>100</v>
      </c>
      <c r="F39" s="16">
        <f>VLOOKUP(B39,[2]LIST!$D:$K,7,FALSE)</f>
        <v>9</v>
      </c>
    </row>
    <row r="40" spans="1:6">
      <c r="A40" s="13">
        <v>59428</v>
      </c>
      <c r="B40" s="13" t="s">
        <v>107</v>
      </c>
      <c r="C40" s="14" t="str">
        <f>VLOOKUP(B40,[1]list!$A:$B,2,FALSE)</f>
        <v>FlashDetect™ LyocartE EV71 Assay</v>
      </c>
      <c r="D40" s="15" t="s">
        <v>108</v>
      </c>
      <c r="E40" s="16">
        <v>100</v>
      </c>
      <c r="F40" s="16">
        <f>VLOOKUP(B40,[2]LIST!$D:$K,7,FALSE)</f>
        <v>9</v>
      </c>
    </row>
    <row r="41" spans="1:6">
      <c r="A41" s="13">
        <v>59429</v>
      </c>
      <c r="B41" s="13" t="s">
        <v>109</v>
      </c>
      <c r="C41" s="14" t="str">
        <f>VLOOKUP(B41,[1]list!$A:$B,2,FALSE)</f>
        <v>FlashDetect™ LyocartE Monkeypox Virus Assay</v>
      </c>
      <c r="D41" s="15" t="s">
        <v>110</v>
      </c>
      <c r="E41" s="16">
        <v>100</v>
      </c>
      <c r="F41" s="16">
        <f>VLOOKUP(B41,[2]LIST!$D:$K,7,FALSE)</f>
        <v>8</v>
      </c>
    </row>
    <row r="42" spans="1:6">
      <c r="A42" s="13">
        <v>59430</v>
      </c>
      <c r="B42" s="13" t="s">
        <v>111</v>
      </c>
      <c r="C42" s="14" t="str">
        <f>VLOOKUP(B42,[1]list!$A:$B,2,FALSE)</f>
        <v xml:space="preserve">FlashDetect™ LyocartE Monkeypox Virus Assay </v>
      </c>
      <c r="D42" s="15" t="s">
        <v>112</v>
      </c>
      <c r="E42" s="16">
        <v>100</v>
      </c>
      <c r="F42" s="16">
        <f>VLOOKUP(B42,[2]LIST!$D:$K,7,FALSE)</f>
        <v>8</v>
      </c>
    </row>
    <row r="43" spans="1:6">
      <c r="A43" s="13">
        <v>59431</v>
      </c>
      <c r="B43" s="13" t="s">
        <v>113</v>
      </c>
      <c r="C43" s="14" t="str">
        <f>VLOOKUP(B43,[1]list!$A:$B,2,FALSE)</f>
        <v>FlashDetect™ LyocartE Chikungunya Virus Assay (For Serum, EDTA plasma)</v>
      </c>
      <c r="D43" s="15" t="s">
        <v>114</v>
      </c>
      <c r="E43" s="16">
        <v>100</v>
      </c>
      <c r="F43" s="16">
        <f>VLOOKUP(B43,[2]LIST!$D:$K,7,FALSE)</f>
        <v>8</v>
      </c>
    </row>
    <row r="44" spans="1:6">
      <c r="A44" s="13">
        <v>59432</v>
      </c>
      <c r="B44" s="13" t="s">
        <v>115</v>
      </c>
      <c r="C44" s="14" t="str">
        <f>VLOOKUP(B44,[1]list!$A:$B,2,FALSE)</f>
        <v>FlashDetect™ LyocartD Canine Distemper Virus Assay</v>
      </c>
      <c r="D44" s="15" t="s">
        <v>116</v>
      </c>
      <c r="E44" s="16">
        <v>100</v>
      </c>
      <c r="F44" s="16">
        <f>VLOOKUP(B44,[2]LIST!$D:$K,7,FALSE)</f>
        <v>7</v>
      </c>
    </row>
    <row r="45" spans="1:6">
      <c r="A45" s="13">
        <v>59433</v>
      </c>
      <c r="B45" s="13" t="s">
        <v>117</v>
      </c>
      <c r="C45" s="14" t="str">
        <f>VLOOKUP(B45,[1]list!$A:$B,2,FALSE)</f>
        <v>FlashDetect™ LyocartE African Swine Fever Virus Assay</v>
      </c>
      <c r="D45" s="15" t="s">
        <v>118</v>
      </c>
      <c r="E45" s="16">
        <v>100</v>
      </c>
      <c r="F45" s="16">
        <f>VLOOKUP(B45,[2]LIST!$D:$K,7,FALSE)</f>
        <v>7</v>
      </c>
    </row>
    <row r="46" spans="1:6">
      <c r="A46" s="13">
        <v>59434</v>
      </c>
      <c r="B46" s="13" t="s">
        <v>119</v>
      </c>
      <c r="C46" s="14" t="str">
        <f>VLOOKUP(B46,[1]list!$A:$B,2,FALSE)</f>
        <v>FlashDetect™ LyocartD CIA&amp;CADV&amp;CPIV Assay</v>
      </c>
      <c r="D46" s="15" t="s">
        <v>120</v>
      </c>
      <c r="E46" s="16">
        <v>100</v>
      </c>
      <c r="F46" s="16">
        <f>VLOOKUP(B46,[2]LIST!$D:$K,7,FALSE)</f>
        <v>7</v>
      </c>
    </row>
    <row r="47" spans="1:6">
      <c r="A47" s="13">
        <v>59435</v>
      </c>
      <c r="B47" s="13" t="s">
        <v>121</v>
      </c>
      <c r="C47" s="14" t="str">
        <f>VLOOKUP(B47,[1]list!$A:$B,2,FALSE)</f>
        <v>FlashDetect™ LyocartD FCV&amp;FHV Assay</v>
      </c>
      <c r="D47" s="15" t="s">
        <v>122</v>
      </c>
      <c r="E47" s="16">
        <v>100</v>
      </c>
      <c r="F47" s="16">
        <f>VLOOKUP(B47,[2]LIST!$D:$K,7,FALSE)</f>
        <v>7</v>
      </c>
    </row>
    <row r="48" spans="1:6">
      <c r="A48" s="13">
        <v>59436</v>
      </c>
      <c r="B48" s="13" t="s">
        <v>123</v>
      </c>
      <c r="C48" s="14" t="str">
        <f>VLOOKUP(B48,[1]list!$A:$B,2,FALSE)</f>
        <v>FlashDetect™ LyocartD Mycof&amp;Chlf&amp;Bobfla Assay</v>
      </c>
      <c r="D48" s="15" t="s">
        <v>124</v>
      </c>
      <c r="E48" s="16">
        <v>100</v>
      </c>
      <c r="F48" s="16">
        <f>VLOOKUP(B48,[2]LIST!$D:$K,7,FALSE)</f>
        <v>7</v>
      </c>
    </row>
    <row r="49" spans="1:6">
      <c r="A49" s="13">
        <v>59437</v>
      </c>
      <c r="B49" s="13" t="s">
        <v>125</v>
      </c>
      <c r="C49" s="14" t="str">
        <f>VLOOKUP(B49,[1]list!$A:$B,2,FALSE)</f>
        <v xml:space="preserve">FlashDetect™ LyocartE FCoV&amp;FPV Assay </v>
      </c>
      <c r="D49" s="15" t="s">
        <v>126</v>
      </c>
      <c r="E49" s="16">
        <v>100</v>
      </c>
      <c r="F49" s="16">
        <f>VLOOKUP(B49,[2]LIST!$D:$K,7,FALSE)</f>
        <v>7</v>
      </c>
    </row>
    <row r="50" spans="1:6">
      <c r="A50" s="13">
        <v>59438</v>
      </c>
      <c r="B50" s="13" t="s">
        <v>127</v>
      </c>
      <c r="C50" s="14" t="str">
        <f>VLOOKUP(B50,[1]list!$A:$B,2,FALSE)</f>
        <v xml:space="preserve">FlashDetect™ LyocartE FIPV Assay </v>
      </c>
      <c r="D50" s="15" t="s">
        <v>128</v>
      </c>
      <c r="E50" s="16">
        <v>100</v>
      </c>
      <c r="F50" s="16">
        <f>VLOOKUP(B50,[2]LIST!$D:$K,7,FALSE)</f>
        <v>7</v>
      </c>
    </row>
    <row r="51" spans="1:6">
      <c r="A51" s="13">
        <v>59446</v>
      </c>
      <c r="B51" s="13" t="s">
        <v>129</v>
      </c>
      <c r="C51" s="14" t="str">
        <f>VLOOKUP(B51,[1]list!$A:$B,2,FALSE)</f>
        <v>COYOTE® CCTS™ Universal Transport Medium Collection Kit (口咽拭子+采样管)</v>
      </c>
      <c r="D51" s="15" t="s">
        <v>130</v>
      </c>
      <c r="E51" s="16">
        <v>100</v>
      </c>
      <c r="F51" s="16">
        <f>VLOOKUP(B51,[2]LIST!$D:$K,7,FALSE)</f>
        <v>0.5</v>
      </c>
    </row>
    <row r="52" spans="1:6">
      <c r="A52" s="13">
        <v>59448</v>
      </c>
      <c r="B52" s="13" t="s">
        <v>131</v>
      </c>
      <c r="C52" s="14" t="str">
        <f>VLOOKUP(B52,[1]list!$A:$B,2,FALSE)</f>
        <v>COYOTE® CCTS™ Universal Transport Medium Collection Kit (鼻咽拭子+采样管)</v>
      </c>
      <c r="D52" s="15" t="s">
        <v>132</v>
      </c>
      <c r="E52" s="16">
        <v>100</v>
      </c>
      <c r="F52" s="16">
        <f>VLOOKUP(B52,[2]LIST!$D:$K,7,FALSE)</f>
        <v>0.5</v>
      </c>
    </row>
    <row r="53" spans="1:6">
      <c r="A53" s="13">
        <v>59519</v>
      </c>
      <c r="B53" s="13" t="s">
        <v>133</v>
      </c>
      <c r="C53" s="14" t="e">
        <f>VLOOKUP(B53,[1]list!$A:$B,2,FALSE)</f>
        <v>#N/A</v>
      </c>
      <c r="D53" s="15" t="s">
        <v>134</v>
      </c>
      <c r="E53" s="16">
        <v>100</v>
      </c>
      <c r="F53" s="16" t="e">
        <f>VLOOKUP(B53,[2]LIST!$D:$K,7,FALSE)</f>
        <v>#N/A</v>
      </c>
    </row>
    <row r="54" spans="1:6">
      <c r="A54" s="13">
        <v>59520</v>
      </c>
      <c r="B54" s="13" t="s">
        <v>133</v>
      </c>
      <c r="C54" s="14" t="e">
        <f>VLOOKUP(B54,[1]list!$A:$B,2,FALSE)</f>
        <v>#N/A</v>
      </c>
      <c r="D54" s="15" t="s">
        <v>135</v>
      </c>
      <c r="E54" s="16">
        <v>100</v>
      </c>
      <c r="F54" s="16" t="e">
        <f>VLOOKUP(B54,[2]LIST!$D:$K,7,FALSE)</f>
        <v>#N/A</v>
      </c>
    </row>
    <row r="55" spans="1:6">
      <c r="A55" s="13">
        <v>59537</v>
      </c>
      <c r="B55" s="13" t="s">
        <v>133</v>
      </c>
      <c r="C55" s="14" t="e">
        <f>VLOOKUP(B55,[1]list!$A:$B,2,FALSE)</f>
        <v>#N/A</v>
      </c>
      <c r="D55" s="15" t="s">
        <v>136</v>
      </c>
      <c r="E55" s="16">
        <v>100</v>
      </c>
      <c r="F55" s="16" t="e">
        <f>VLOOKUP(B55,[2]LIST!$D:$K,7,FALSE)</f>
        <v>#N/A</v>
      </c>
    </row>
    <row r="56" spans="1:6">
      <c r="A56" s="13">
        <v>59538</v>
      </c>
      <c r="B56" s="13" t="s">
        <v>133</v>
      </c>
      <c r="C56" s="14" t="e">
        <f>VLOOKUP(B56,[1]list!$A:$B,2,FALSE)</f>
        <v>#N/A</v>
      </c>
      <c r="D56" s="15" t="s">
        <v>137</v>
      </c>
      <c r="E56" s="16">
        <v>100</v>
      </c>
      <c r="F56" s="16" t="e">
        <f>VLOOKUP(B56,[2]LIST!$D:$K,7,FALSE)</f>
        <v>#N/A</v>
      </c>
    </row>
    <row r="57" spans="1:6">
      <c r="A57" s="13">
        <v>59661</v>
      </c>
      <c r="B57" s="13" t="s">
        <v>138</v>
      </c>
      <c r="C57" s="14" t="e">
        <f>VLOOKUP(B57,[1]list!$A:$B,2,FALSE)</f>
        <v>#N/A</v>
      </c>
      <c r="D57" s="15" t="s">
        <v>139</v>
      </c>
      <c r="E57" s="16">
        <v>100</v>
      </c>
      <c r="F57" s="16" t="e">
        <f>VLOOKUP(B57,[2]LIST!$D:$K,7,FALSE)</f>
        <v>#N/A</v>
      </c>
    </row>
    <row r="58" spans="1:6">
      <c r="A58" s="13">
        <v>59662</v>
      </c>
      <c r="B58" s="13" t="s">
        <v>140</v>
      </c>
      <c r="C58" s="14" t="e">
        <f>VLOOKUP(B58,[1]list!$A:$B,2,FALSE)</f>
        <v>#N/A</v>
      </c>
      <c r="D58" s="15" t="s">
        <v>141</v>
      </c>
      <c r="E58" s="16">
        <v>100</v>
      </c>
      <c r="F58" s="16" t="e">
        <f>VLOOKUP(B58,[2]LIST!$D:$K,7,FALSE)</f>
        <v>#N/A</v>
      </c>
    </row>
    <row r="59" spans="1:6">
      <c r="A59" s="13">
        <v>59663</v>
      </c>
      <c r="B59" s="13" t="s">
        <v>142</v>
      </c>
      <c r="C59" s="14" t="e">
        <f>VLOOKUP(B59,[1]list!$A:$B,2,FALSE)</f>
        <v>#N/A</v>
      </c>
      <c r="D59" s="15" t="s">
        <v>143</v>
      </c>
      <c r="E59" s="16">
        <v>100</v>
      </c>
      <c r="F59" s="16" t="e">
        <f>VLOOKUP(B59,[2]LIST!$D:$K,7,FALSE)</f>
        <v>#N/A</v>
      </c>
    </row>
    <row r="60" spans="1:6">
      <c r="A60" s="13">
        <v>59664</v>
      </c>
      <c r="B60" s="13" t="s">
        <v>144</v>
      </c>
      <c r="C60" s="14" t="e">
        <f>VLOOKUP(B60,[1]list!$A:$B,2,FALSE)</f>
        <v>#N/A</v>
      </c>
      <c r="D60" s="15" t="s">
        <v>145</v>
      </c>
      <c r="E60" s="16">
        <v>100</v>
      </c>
      <c r="F60" s="16" t="e">
        <f>VLOOKUP(B60,[2]LIST!$D:$K,7,FALSE)</f>
        <v>#N/A</v>
      </c>
    </row>
    <row r="61" spans="1:6">
      <c r="A61" s="13">
        <v>59665</v>
      </c>
      <c r="B61" s="13" t="s">
        <v>146</v>
      </c>
      <c r="C61" s="14" t="e">
        <f>VLOOKUP(B61,[1]list!$A:$B,2,FALSE)</f>
        <v>#N/A</v>
      </c>
      <c r="D61" s="15" t="s">
        <v>147</v>
      </c>
      <c r="E61" s="16">
        <v>100</v>
      </c>
      <c r="F61" s="16" t="e">
        <f>VLOOKUP(B61,[2]LIST!$D:$K,7,FALSE)</f>
        <v>#N/A</v>
      </c>
    </row>
    <row r="62" spans="1:6">
      <c r="A62" s="13">
        <v>59666</v>
      </c>
      <c r="B62" s="13" t="s">
        <v>148</v>
      </c>
      <c r="C62" s="14" t="str">
        <f>VLOOKUP(B62,[1]list!$A:$B,2,FALSE)</f>
        <v>Flash10 Back Cover Cooling Fan</v>
      </c>
      <c r="D62" s="15" t="s">
        <v>149</v>
      </c>
      <c r="E62" s="16">
        <v>100</v>
      </c>
      <c r="F62" s="16" t="e">
        <f>VLOOKUP(B62,[2]LIST!$D:$K,7,FALSE)</f>
        <v>#N/A</v>
      </c>
    </row>
    <row r="63" spans="1:6">
      <c r="A63" s="13">
        <v>59667</v>
      </c>
      <c r="B63" s="13" t="s">
        <v>150</v>
      </c>
      <c r="C63" s="14" t="e">
        <f>VLOOKUP(B63,[1]list!$A:$B,2,FALSE)</f>
        <v>#N/A</v>
      </c>
      <c r="D63" s="15" t="s">
        <v>151</v>
      </c>
      <c r="E63" s="16">
        <v>100</v>
      </c>
      <c r="F63" s="16" t="e">
        <f>VLOOKUP(B63,[2]LIST!$D:$K,7,FALSE)</f>
        <v>#N/A</v>
      </c>
    </row>
    <row r="64" spans="1:6">
      <c r="A64" s="13">
        <v>59668</v>
      </c>
      <c r="B64" s="13" t="s">
        <v>152</v>
      </c>
      <c r="C64" s="14" t="e">
        <f>VLOOKUP(B64,[1]list!$A:$B,2,FALSE)</f>
        <v>#N/A</v>
      </c>
      <c r="D64" s="15" t="s">
        <v>153</v>
      </c>
      <c r="E64" s="16">
        <v>100</v>
      </c>
      <c r="F64" s="16" t="e">
        <f>VLOOKUP(B64,[2]LIST!$D:$K,7,FALSE)</f>
        <v>#N/A</v>
      </c>
    </row>
    <row r="65" spans="1:6">
      <c r="A65" s="13">
        <v>59669</v>
      </c>
      <c r="B65" s="13" t="s">
        <v>154</v>
      </c>
      <c r="C65" s="14" t="e">
        <f>VLOOKUP(B65,[1]list!$A:$B,2,FALSE)</f>
        <v>#N/A</v>
      </c>
      <c r="D65" s="15" t="s">
        <v>155</v>
      </c>
      <c r="E65" s="16">
        <v>100</v>
      </c>
      <c r="F65" s="16" t="e">
        <f>VLOOKUP(B65,[2]LIST!$D:$K,7,FALSE)</f>
        <v>#N/A</v>
      </c>
    </row>
    <row r="66" spans="1:6">
      <c r="A66" s="13">
        <v>59670</v>
      </c>
      <c r="B66" s="13" t="s">
        <v>156</v>
      </c>
      <c r="C66" s="14" t="e">
        <f>VLOOKUP(B66,[1]list!$A:$B,2,FALSE)</f>
        <v>#N/A</v>
      </c>
      <c r="D66" s="15" t="s">
        <v>157</v>
      </c>
      <c r="E66" s="16">
        <v>100</v>
      </c>
      <c r="F66" s="16" t="e">
        <f>VLOOKUP(B66,[2]LIST!$D:$K,7,FALSE)</f>
        <v>#N/A</v>
      </c>
    </row>
    <row r="67" spans="1:6">
      <c r="A67" s="13">
        <v>59671</v>
      </c>
      <c r="B67" s="13" t="s">
        <v>158</v>
      </c>
      <c r="C67" s="14" t="e">
        <f>VLOOKUP(B67,[1]list!$A:$B,2,FALSE)</f>
        <v>#N/A</v>
      </c>
      <c r="D67" s="15" t="s">
        <v>159</v>
      </c>
      <c r="E67" s="16">
        <v>100</v>
      </c>
      <c r="F67" s="16" t="e">
        <f>VLOOKUP(B67,[2]LIST!$D:$K,7,FALSE)</f>
        <v>#N/A</v>
      </c>
    </row>
    <row r="68" spans="1:6">
      <c r="A68" s="13">
        <v>59672</v>
      </c>
      <c r="B68" s="13" t="s">
        <v>160</v>
      </c>
      <c r="C68" s="14" t="e">
        <f>VLOOKUP(B68,[1]list!$A:$B,2,FALSE)</f>
        <v>#N/A</v>
      </c>
      <c r="D68" s="15" t="s">
        <v>161</v>
      </c>
      <c r="E68" s="16">
        <v>100</v>
      </c>
      <c r="F68" s="16" t="e">
        <f>VLOOKUP(B68,[2]LIST!$D:$K,7,FALSE)</f>
        <v>#N/A</v>
      </c>
    </row>
    <row r="69" spans="1:6">
      <c r="A69" s="13">
        <v>59786</v>
      </c>
      <c r="B69" s="13" t="s">
        <v>162</v>
      </c>
      <c r="C69" s="14" t="str">
        <f>VLOOKUP(B69,[1]list!$A:$B,2,FALSE)</f>
        <v xml:space="preserve">FlashDetect™ LyocartE CT&amp;NG&amp;UU Assay </v>
      </c>
      <c r="D69" s="15" t="s">
        <v>163</v>
      </c>
      <c r="E69" s="16">
        <v>100</v>
      </c>
      <c r="F69" s="16">
        <f>VLOOKUP(B69,[2]LIST!$D:$K,7,FALSE)</f>
        <v>10</v>
      </c>
    </row>
    <row r="70" spans="1:6">
      <c r="A70" s="13">
        <v>59787</v>
      </c>
      <c r="B70" s="13" t="s">
        <v>164</v>
      </c>
      <c r="C70" s="14" t="str">
        <f>VLOOKUP(B70,[1]list!$A:$B,2,FALSE)</f>
        <v>FlashDetect™ LyocartE NG&amp;UU Assay</v>
      </c>
      <c r="D70" s="15" t="s">
        <v>165</v>
      </c>
      <c r="E70" s="16">
        <v>100</v>
      </c>
      <c r="F70" s="16">
        <f>VLOOKUP(B70,[2]LIST!$D:$K,7,FALSE)</f>
        <v>10</v>
      </c>
    </row>
    <row r="71" spans="1:6">
      <c r="A71" s="13">
        <v>59788</v>
      </c>
      <c r="B71" s="13" t="s">
        <v>166</v>
      </c>
      <c r="C71" s="14" t="str">
        <f>VLOOKUP(B71,[1]list!$A:$B,2,FALSE)</f>
        <v>FlashDetect™ Lyocart GBS Assay</v>
      </c>
      <c r="D71" s="15" t="s">
        <v>167</v>
      </c>
      <c r="E71" s="16">
        <v>100</v>
      </c>
      <c r="F71" s="16">
        <f>VLOOKUP(B71,[2]LIST!$D:$K,7,FALSE)</f>
        <v>8</v>
      </c>
    </row>
    <row r="72" spans="1:6">
      <c r="A72" s="13">
        <v>59789</v>
      </c>
      <c r="B72" s="13" t="s">
        <v>168</v>
      </c>
      <c r="C72" s="14" t="str">
        <f>VLOOKUP(B72,[1]list!$A:$B,2,FALSE)</f>
        <v xml:space="preserve">FlashDetect™ LyocartE CT&amp;NG&amp;UU Assay </v>
      </c>
      <c r="D72" s="15" t="s">
        <v>169</v>
      </c>
      <c r="E72" s="16">
        <v>100</v>
      </c>
      <c r="F72" s="16">
        <f>VLOOKUP(B72,[2]LIST!$D:$K,7,FALSE)</f>
        <v>10</v>
      </c>
    </row>
    <row r="73" spans="1:6">
      <c r="A73" s="13">
        <v>59790</v>
      </c>
      <c r="B73" s="13" t="s">
        <v>170</v>
      </c>
      <c r="C73" s="14" t="str">
        <f>VLOOKUP(B73,[1]list!$A:$B,2,FALSE)</f>
        <v>FlashDetect™ LyocartE NG&amp;UU Assay</v>
      </c>
      <c r="D73" s="15" t="s">
        <v>171</v>
      </c>
      <c r="E73" s="16">
        <v>100</v>
      </c>
      <c r="F73" s="16">
        <f>VLOOKUP(B73,[2]LIST!$D:$K,7,FALSE)</f>
        <v>10</v>
      </c>
    </row>
    <row r="74" spans="1:6">
      <c r="A74" s="13">
        <v>59791</v>
      </c>
      <c r="B74" s="13" t="s">
        <v>172</v>
      </c>
      <c r="C74" s="14" t="e">
        <f>VLOOKUP(B74,[1]list!$A:$B,2,FALSE)</f>
        <v>#N/A</v>
      </c>
      <c r="D74" s="15" t="s">
        <v>173</v>
      </c>
      <c r="E74" s="16">
        <v>100</v>
      </c>
      <c r="F74" s="16" t="e">
        <f>VLOOKUP(B74,[2]LIST!$D:$K,7,FALSE)</f>
        <v>#N/A</v>
      </c>
    </row>
    <row r="75" spans="1:6">
      <c r="A75" s="13">
        <v>59816</v>
      </c>
      <c r="B75" s="13" t="s">
        <v>174</v>
      </c>
      <c r="C75" s="14" t="e">
        <f>VLOOKUP(B75,[1]list!$A:$B,2,FALSE)</f>
        <v>#N/A</v>
      </c>
      <c r="D75" s="15" t="s">
        <v>175</v>
      </c>
      <c r="E75" s="16">
        <v>100</v>
      </c>
      <c r="F75" s="16" t="e">
        <f>VLOOKUP(B75,[2]LIST!$D:$K,7,FALSE)</f>
        <v>#N/A</v>
      </c>
    </row>
    <row r="76" spans="1:6">
      <c r="A76" s="13">
        <v>59817</v>
      </c>
      <c r="B76" s="13" t="s">
        <v>176</v>
      </c>
      <c r="C76" s="14" t="str">
        <f>VLOOKUP(B76,[1]list!$A:$B,2,FALSE)</f>
        <v>FlashDetect™ Lyocart Strep A Assay</v>
      </c>
      <c r="D76" s="15" t="s">
        <v>177</v>
      </c>
      <c r="E76" s="16">
        <v>100</v>
      </c>
      <c r="F76" s="16">
        <f>VLOOKUP(B76,[2]LIST!$D:$K,7,FALSE)</f>
        <v>8</v>
      </c>
    </row>
    <row r="77" spans="1:6">
      <c r="A77" s="13">
        <v>59818</v>
      </c>
      <c r="B77" s="13" t="s">
        <v>178</v>
      </c>
      <c r="C77" s="14" t="str">
        <f>VLOOKUP(B77,[1]list!$A:$B,2,FALSE)</f>
        <v>Stool Sample Buffer</v>
      </c>
      <c r="D77" s="15" t="s">
        <v>179</v>
      </c>
      <c r="E77" s="16">
        <v>100</v>
      </c>
      <c r="F77" s="16" t="str">
        <f>VLOOKUP(B77,[2]LIST!$D:$K,7,FALSE)</f>
        <v>FOC with every kit</v>
      </c>
    </row>
    <row r="78" spans="1:6">
      <c r="A78" s="13">
        <v>59819</v>
      </c>
      <c r="B78" s="13" t="s">
        <v>180</v>
      </c>
      <c r="C78" s="14" t="str">
        <f>VLOOKUP(B78,[1]list!$A:$B,2,FALSE)</f>
        <v>FlashDetect™ LyocartD ALDH2 Assay</v>
      </c>
      <c r="D78" s="15" t="s">
        <v>181</v>
      </c>
      <c r="E78" s="16">
        <v>100</v>
      </c>
      <c r="F78" s="16">
        <f>VLOOKUP(B78,[2]LIST!$D:$K,7,FALSE)</f>
        <v>8</v>
      </c>
    </row>
    <row r="79" spans="1:6">
      <c r="A79" s="13">
        <v>59820</v>
      </c>
      <c r="B79" s="13" t="s">
        <v>182</v>
      </c>
      <c r="C79" s="14" t="str">
        <f>VLOOKUP(B79,[1]list!$A:$B,2,FALSE)</f>
        <v>FlashDetect™ LyocartD MTHFR C677T Assay</v>
      </c>
      <c r="D79" s="15" t="s">
        <v>183</v>
      </c>
      <c r="E79" s="16">
        <v>100</v>
      </c>
      <c r="F79" s="16">
        <f>VLOOKUP(B79,[2]LIST!$D:$K,7,FALSE)</f>
        <v>8</v>
      </c>
    </row>
    <row r="80" spans="1:6">
      <c r="A80" s="13">
        <v>59821</v>
      </c>
      <c r="B80" s="13" t="s">
        <v>184</v>
      </c>
      <c r="C80" s="14" t="str">
        <f>VLOOKUP(B80,[1]list!$A:$B,2,FALSE)</f>
        <v>FlashDetect™ SARS-CoV-2 External Quality Control (SPEC.A)</v>
      </c>
      <c r="D80" s="15" t="s">
        <v>185</v>
      </c>
      <c r="E80" s="16">
        <v>100</v>
      </c>
      <c r="F80" s="16">
        <f>VLOOKUP(B80,[2]LIST!$D:$K,7,FALSE)</f>
        <v>20</v>
      </c>
    </row>
    <row r="81" spans="1:6">
      <c r="A81" s="13">
        <v>59822</v>
      </c>
      <c r="B81" s="13" t="s">
        <v>186</v>
      </c>
      <c r="C81" s="14" t="str">
        <f>VLOOKUP(B81,[1]list!$A:$B,2,FALSE)</f>
        <v>FlashDetect™ SARS-CoV-2 External Quality Control (SPEC.B)</v>
      </c>
      <c r="D81" s="15" t="s">
        <v>187</v>
      </c>
      <c r="E81" s="16">
        <v>100</v>
      </c>
      <c r="F81" s="16">
        <f>VLOOKUP(B81,[2]LIST!$D:$K,7,FALSE)</f>
        <v>20</v>
      </c>
    </row>
    <row r="82" spans="1:6">
      <c r="A82" s="13">
        <v>59823</v>
      </c>
      <c r="B82" s="13" t="s">
        <v>188</v>
      </c>
      <c r="C82" s="14" t="str">
        <f>VLOOKUP(B82,[1]list!$A:$B,2,FALSE)</f>
        <v>FlashDetect™ SARS-CoV-2&amp;FluA&amp;FluB External Quality Control (SPEC.A)</v>
      </c>
      <c r="D82" s="17" t="s">
        <v>189</v>
      </c>
      <c r="E82" s="16">
        <v>100</v>
      </c>
      <c r="F82" s="16">
        <f>VLOOKUP(B82,[2]LIST!$D:$K,7,FALSE)</f>
        <v>20</v>
      </c>
    </row>
    <row r="83" spans="1:6">
      <c r="A83" s="13">
        <v>59824</v>
      </c>
      <c r="B83" s="13" t="s">
        <v>190</v>
      </c>
      <c r="C83" s="14" t="str">
        <f>VLOOKUP(B83,[1]list!$A:$B,2,FALSE)</f>
        <v>FlashDetect™ SARS-CoV-2&amp;FluA&amp;FluB External Quality Control (SPEC.B)</v>
      </c>
      <c r="D83" s="15" t="s">
        <v>191</v>
      </c>
      <c r="E83" s="16">
        <v>100</v>
      </c>
      <c r="F83" s="16">
        <f>VLOOKUP(B83,[2]LIST!$D:$K,7,FALSE)</f>
        <v>20</v>
      </c>
    </row>
    <row r="84" spans="1:6">
      <c r="A84" s="13">
        <v>59825</v>
      </c>
      <c r="B84" s="13" t="s">
        <v>192</v>
      </c>
      <c r="C84" s="14" t="str">
        <f>VLOOKUP(B84,[1]list!$A:$B,2,FALSE)</f>
        <v>FlashDetect™ SARS-CoV-2&amp;FluA&amp;FluB&amp;RSV External Quality Control</v>
      </c>
      <c r="D84" s="15" t="s">
        <v>193</v>
      </c>
      <c r="E84" s="16">
        <v>100</v>
      </c>
      <c r="F84" s="16">
        <f>VLOOKUP(B84,[2]LIST!$D:$K,7,FALSE)</f>
        <v>20</v>
      </c>
    </row>
    <row r="85" spans="1:6">
      <c r="A85" s="13">
        <v>59826</v>
      </c>
      <c r="B85" s="18" t="s">
        <v>194</v>
      </c>
      <c r="C85" s="14" t="str">
        <f>VLOOKUP(B85,[1]list!$A:$B,2,FALSE)</f>
        <v>FlashDetect™ SARS-CoV-2&amp;FluA&amp;FluB&amp;RSV External Quality Control</v>
      </c>
      <c r="D85" s="17" t="s">
        <v>195</v>
      </c>
      <c r="E85" s="16">
        <v>100</v>
      </c>
      <c r="F85" s="16">
        <f>VLOOKUP(B85,[2]LIST!$D:$K,7,FALSE)</f>
        <v>20</v>
      </c>
    </row>
    <row r="86" spans="1:6">
      <c r="A86" s="13">
        <v>59827</v>
      </c>
      <c r="B86" s="13" t="s">
        <v>196</v>
      </c>
      <c r="C86" s="14" t="str">
        <f>VLOOKUP(B86,[1]list!$A:$B,2,FALSE)</f>
        <v>FlashDetect™ MG&amp;TV&amp;MH External Quality Control (SPEC. A)</v>
      </c>
      <c r="D86" s="15" t="s">
        <v>197</v>
      </c>
      <c r="E86" s="16">
        <v>100</v>
      </c>
      <c r="F86" s="16">
        <f>VLOOKUP(B86,[2]LIST!$D:$K,7,FALSE)</f>
        <v>20</v>
      </c>
    </row>
    <row r="87" spans="1:6">
      <c r="A87" s="13">
        <v>59828</v>
      </c>
      <c r="B87" s="13" t="s">
        <v>198</v>
      </c>
      <c r="C87" s="14" t="str">
        <f>VLOOKUP(B87,[1]list!$A:$B,2,FALSE)</f>
        <v>FlashDetect™ MG&amp;TV&amp;MH External Quality Control (SPEC. B)</v>
      </c>
      <c r="D87" s="15" t="s">
        <v>199</v>
      </c>
      <c r="E87" s="16">
        <v>100</v>
      </c>
      <c r="F87" s="16">
        <f>VLOOKUP(B87,[2]LIST!$D:$K,7,FALSE)</f>
        <v>20</v>
      </c>
    </row>
    <row r="88" spans="1:6">
      <c r="A88" s="13">
        <v>59890</v>
      </c>
      <c r="B88" s="13">
        <v>2013002001</v>
      </c>
      <c r="C88" s="14" t="str">
        <f>VLOOKUP(B88,[1]list!$A:$B,2,FALSE)</f>
        <v>Sample Preparation System（RUO）</v>
      </c>
      <c r="D88" s="15" t="s">
        <v>200</v>
      </c>
      <c r="E88" s="16">
        <v>100</v>
      </c>
      <c r="F88" s="16" t="e">
        <f>VLOOKUP(B88,[2]LIST!$D:$K,7,FALSE)</f>
        <v>#N/A</v>
      </c>
    </row>
    <row r="89" spans="1:6">
      <c r="A89" s="13">
        <v>59893</v>
      </c>
      <c r="B89" s="13" t="s">
        <v>201</v>
      </c>
      <c r="C89" s="14" t="e">
        <f>VLOOKUP(B89,[1]list!$A:$B,2,FALSE)</f>
        <v>#N/A</v>
      </c>
      <c r="D89" s="15" t="s">
        <v>202</v>
      </c>
      <c r="E89" s="16">
        <v>100</v>
      </c>
      <c r="F89" s="16">
        <f>VLOOKUP(B89,[2]LIST!$D:$K,7,FALSE)</f>
        <v>20</v>
      </c>
    </row>
    <row r="90" spans="1:6">
      <c r="A90" s="13">
        <v>59894</v>
      </c>
      <c r="B90" s="13" t="s">
        <v>203</v>
      </c>
      <c r="C90" s="14" t="e">
        <f>VLOOKUP(B90,[1]list!$A:$B,2,FALSE)</f>
        <v>#N/A</v>
      </c>
      <c r="D90" s="15" t="s">
        <v>204</v>
      </c>
      <c r="E90" s="16">
        <v>100</v>
      </c>
      <c r="F90" s="16">
        <f>VLOOKUP(B90,[2]LIST!$D:$K,7,FALSE)</f>
        <v>20</v>
      </c>
    </row>
    <row r="91" spans="1:6">
      <c r="A91" s="13">
        <v>61191</v>
      </c>
      <c r="B91" s="13" t="s">
        <v>205</v>
      </c>
      <c r="C91" s="14" t="str">
        <f>VLOOKUP(B91,[1]list!$A:$B,2,FALSE)</f>
        <v>FlashDetect™Enterovirus 71 External Quality Control (SPEC. B)</v>
      </c>
      <c r="D91" s="15" t="s">
        <v>206</v>
      </c>
      <c r="E91" s="16">
        <v>100</v>
      </c>
      <c r="F91" s="16">
        <f>VLOOKUP(B91,[2]LIST!$D:$K,7,FALSE)</f>
        <v>20</v>
      </c>
    </row>
    <row r="92" spans="1:6">
      <c r="A92" s="13">
        <v>61192</v>
      </c>
      <c r="B92" s="13" t="s">
        <v>207</v>
      </c>
      <c r="C92" s="14" t="str">
        <f>VLOOKUP(B92,[1]list!$A:$B,2,FALSE)</f>
        <v>FlashDetect™ Monkeypox virus External Quality Control (SPEC. A)</v>
      </c>
      <c r="D92" s="15" t="s">
        <v>208</v>
      </c>
      <c r="E92" s="16">
        <v>100</v>
      </c>
      <c r="F92" s="16">
        <f>VLOOKUP(B92,[2]LIST!$D:$K,7,FALSE)</f>
        <v>20</v>
      </c>
    </row>
    <row r="93" spans="1:6">
      <c r="A93" s="13">
        <v>61193</v>
      </c>
      <c r="B93" s="13" t="s">
        <v>209</v>
      </c>
      <c r="C93" s="14" t="str">
        <f>VLOOKUP(B93,[1]list!$A:$B,2,FALSE)</f>
        <v>FlashDetect™ Monkeypox virus External Quality Control (SPEC. B)</v>
      </c>
      <c r="D93" s="15" t="s">
        <v>210</v>
      </c>
      <c r="E93" s="16">
        <v>100</v>
      </c>
      <c r="F93" s="16">
        <f>VLOOKUP(B93,[2]LIST!$D:$K,7,FALSE)</f>
        <v>20</v>
      </c>
    </row>
    <row r="94" spans="1:6">
      <c r="A94" s="13">
        <v>61194</v>
      </c>
      <c r="B94" s="13" t="s">
        <v>211</v>
      </c>
      <c r="C94" s="14" t="str">
        <f>VLOOKUP(B94,[1]list!$A:$B,2,FALSE)</f>
        <v>FlashDetect™ Dengue virus type I/II External Quality Control</v>
      </c>
      <c r="D94" s="15" t="s">
        <v>212</v>
      </c>
      <c r="E94" s="16">
        <v>100</v>
      </c>
      <c r="F94" s="16">
        <f>VLOOKUP(B94,[2]LIST!$D:$K,7,FALSE)</f>
        <v>20</v>
      </c>
    </row>
    <row r="95" spans="1:6">
      <c r="A95" s="13">
        <v>61195</v>
      </c>
      <c r="B95" s="19" t="s">
        <v>213</v>
      </c>
      <c r="C95" s="14" t="str">
        <f>VLOOKUP(B95,[1]list!$A:$B,2,FALSE)</f>
        <v>FlashDetect™Dengue virus type III/IV External Quality Control</v>
      </c>
      <c r="D95" s="15" t="s">
        <v>214</v>
      </c>
      <c r="E95" s="16">
        <v>100</v>
      </c>
      <c r="F95" s="16">
        <f>VLOOKUP(B95,[2]LIST!$D:$K,7,FALSE)</f>
        <v>20</v>
      </c>
    </row>
    <row r="96" spans="1:6">
      <c r="A96" s="13">
        <v>61196</v>
      </c>
      <c r="B96" s="13" t="s">
        <v>215</v>
      </c>
      <c r="C96" s="14" t="e">
        <f>VLOOKUP(B96,[1]list!$A:$B,2,FALSE)</f>
        <v>#N/A</v>
      </c>
      <c r="D96" s="15" t="s">
        <v>216</v>
      </c>
      <c r="E96" s="16">
        <v>100</v>
      </c>
      <c r="F96" s="16" t="e">
        <f>VLOOKUP(B96,[2]LIST!$D:$K,7,FALSE)</f>
        <v>#N/A</v>
      </c>
    </row>
    <row r="97" spans="1:6">
      <c r="A97" s="13">
        <v>61197</v>
      </c>
      <c r="B97" s="13" t="s">
        <v>217</v>
      </c>
      <c r="C97" s="14" t="str">
        <f>VLOOKUP(B97,[1]list!$A:$B,2,FALSE)</f>
        <v>FlashDetect™ LyocartE MTB Assay</v>
      </c>
      <c r="D97" s="15" t="s">
        <v>218</v>
      </c>
      <c r="E97" s="16">
        <v>100</v>
      </c>
      <c r="F97" s="16">
        <f>VLOOKUP(B97,[2]LIST!$D:$K,7,FALSE)</f>
        <v>9</v>
      </c>
    </row>
    <row r="98" spans="1:6">
      <c r="A98" s="13">
        <v>61198</v>
      </c>
      <c r="B98" s="13" t="s">
        <v>219</v>
      </c>
      <c r="C98" s="14" t="str">
        <f>VLOOKUP(B98,[1]list!$A:$B,2,FALSE)</f>
        <v>COYOTE® CCTS™ Universal Transport Medium Collection Kit （生殖道拭子）</v>
      </c>
      <c r="D98" s="15" t="s">
        <v>220</v>
      </c>
      <c r="E98" s="16">
        <v>100</v>
      </c>
      <c r="F98" s="16" t="e">
        <f>VLOOKUP(B98,[2]LIST!$D:$K,7,FALSE)</f>
        <v>#N/A</v>
      </c>
    </row>
    <row r="99" spans="1:6">
      <c r="A99" s="13">
        <v>61199</v>
      </c>
      <c r="B99" s="13" t="s">
        <v>221</v>
      </c>
      <c r="C99" s="14" t="str">
        <f>VLOOKUP(B99,[1]list!$A:$B,2,FALSE)</f>
        <v>COYOTE® CCTS™ Universal Transport Medium Collection Kit （鼻/鼻咽拭子）</v>
      </c>
      <c r="D99" s="15" t="s">
        <v>222</v>
      </c>
      <c r="E99" s="16">
        <v>100</v>
      </c>
      <c r="F99" s="16">
        <f>VLOOKUP(B99,[2]LIST!$D:$K,7,FALSE)</f>
        <v>0.2</v>
      </c>
    </row>
    <row r="100" spans="1:6">
      <c r="A100" s="13">
        <v>61200</v>
      </c>
      <c r="B100" s="13" t="s">
        <v>223</v>
      </c>
      <c r="C100" s="14" t="str">
        <f>VLOOKUP(B100,[1]list!$A:$B,2,FALSE)</f>
        <v>COYOTE® CCTS™ Sputum Liquefaction Kit</v>
      </c>
      <c r="D100" s="15" t="s">
        <v>224</v>
      </c>
      <c r="E100" s="16">
        <v>100</v>
      </c>
      <c r="F100" s="16" t="str">
        <f>VLOOKUP(B100,[2]LIST!$D:$K,7,FALSE)</f>
        <v>FOC</v>
      </c>
    </row>
    <row r="101" spans="1:6">
      <c r="A101" s="13">
        <v>61201</v>
      </c>
      <c r="B101" s="13" t="s">
        <v>225</v>
      </c>
      <c r="C101" s="14" t="str">
        <f>VLOOKUP(B101,[1]list!$A:$B,2,FALSE)</f>
        <v>COYOTE® CCTS™ Microbial Sample Collection Kit</v>
      </c>
      <c r="D101" s="15" t="s">
        <v>226</v>
      </c>
      <c r="E101" s="16">
        <v>100</v>
      </c>
      <c r="F101" s="16" t="str">
        <f>VLOOKUP(B101,[2]LIST!$D:$K,7,FALSE)</f>
        <v>FOC</v>
      </c>
    </row>
    <row r="102" spans="1:6">
      <c r="A102" s="13">
        <v>61312</v>
      </c>
      <c r="B102" s="13">
        <v>2004009001</v>
      </c>
      <c r="C102" s="14" t="str">
        <f>VLOOKUP(B102,[1]list!$A:$B,2,FALSE)</f>
        <v xml:space="preserve">FlashDetect™ Flash10 System </v>
      </c>
      <c r="D102" s="15" t="s">
        <v>227</v>
      </c>
      <c r="E102" s="16">
        <v>100</v>
      </c>
      <c r="F102" s="16">
        <f>VLOOKUP(B102,[2]LIST!$D:$K,7,FALSE)</f>
        <v>14000</v>
      </c>
    </row>
    <row r="103" spans="1:6">
      <c r="A103" s="13">
        <v>61313</v>
      </c>
      <c r="B103" s="13" t="s">
        <v>228</v>
      </c>
      <c r="C103" s="14" t="str">
        <f>VLOOKUP(B103,[1]list!$A:$B,2,FALSE)</f>
        <v>COYOTE® CCTS™ Universal Transport Medium Collection Kit (3mL采样管)</v>
      </c>
      <c r="D103" s="15" t="s">
        <v>229</v>
      </c>
      <c r="E103" s="16">
        <v>100</v>
      </c>
      <c r="F103" s="16">
        <f>VLOOKUP(B103,[2]LIST!$D:$K,7,FALSE)</f>
        <v>0.2</v>
      </c>
    </row>
    <row r="104" spans="1:6">
      <c r="A104" s="13">
        <v>61344</v>
      </c>
      <c r="B104" s="13" t="s">
        <v>230</v>
      </c>
      <c r="C104" s="14" t="str">
        <f>VLOOKUP(B104,[1]list!$A:$B,2,FALSE)</f>
        <v>FlashDetect™ LyocartE HMPV/HPIV/HRV Assay</v>
      </c>
      <c r="D104" s="15" t="s">
        <v>231</v>
      </c>
      <c r="E104" s="16">
        <v>100</v>
      </c>
      <c r="F104" s="16">
        <f>VLOOKUP(B104,[2]LIST!$D:$K,7,FALSE)</f>
        <v>10</v>
      </c>
    </row>
    <row r="105" spans="1:6">
      <c r="A105" s="13">
        <v>61345</v>
      </c>
      <c r="B105" s="13" t="s">
        <v>232</v>
      </c>
      <c r="C105" s="14" t="str">
        <f>VLOOKUP(B105,[1]list!$A:$B,2,FALSE)</f>
        <v>FlashDetect™ LyocartE HMPV/HPIV/HRV Assay</v>
      </c>
      <c r="D105" s="15" t="s">
        <v>233</v>
      </c>
      <c r="E105" s="16">
        <v>100</v>
      </c>
      <c r="F105" s="16">
        <f>VLOOKUP(B105,[2]LIST!$D:$K,7,FALSE)</f>
        <v>10</v>
      </c>
    </row>
    <row r="106" spans="1:6">
      <c r="A106" s="13">
        <v>61346</v>
      </c>
      <c r="B106" s="13" t="s">
        <v>234</v>
      </c>
      <c r="C106" s="14" t="str">
        <f>VLOOKUP(B106,[1]list!$A:$B,2,FALSE)</f>
        <v>FlashDetect™ Lyocart HPV Assay</v>
      </c>
      <c r="D106" s="15" t="s">
        <v>235</v>
      </c>
      <c r="E106" s="16">
        <v>100</v>
      </c>
      <c r="F106" s="16">
        <f>VLOOKUP(B106,[2]LIST!$D:$K,7,FALSE)</f>
        <v>10</v>
      </c>
    </row>
    <row r="107" spans="1:6">
      <c r="A107" s="13">
        <v>61347</v>
      </c>
      <c r="B107" s="13" t="s">
        <v>236</v>
      </c>
      <c r="C107" s="14" t="str">
        <f>VLOOKUP(B107,[1]list!$A:$B,2,FALSE)</f>
        <v>FlashDetect™ Lyocart HPV Assay</v>
      </c>
      <c r="D107" s="15" t="s">
        <v>237</v>
      </c>
      <c r="E107" s="16">
        <v>100</v>
      </c>
      <c r="F107" s="16">
        <f>VLOOKUP(B107,[2]LIST!$D:$K,7,FALSE)</f>
        <v>10</v>
      </c>
    </row>
    <row r="108" spans="1:6">
      <c r="A108" s="13">
        <v>61348</v>
      </c>
      <c r="B108" s="13" t="s">
        <v>238</v>
      </c>
      <c r="C108" s="14" t="str">
        <f>VLOOKUP(B108,[1]list!$A:$B,2,FALSE)</f>
        <v>FlashDetect™ Lyocart C. difficile Assay</v>
      </c>
      <c r="D108" s="15" t="s">
        <v>239</v>
      </c>
      <c r="E108" s="16">
        <v>100</v>
      </c>
      <c r="F108" s="16">
        <f>VLOOKUP(B108,[2]LIST!$D:$K,7,FALSE)</f>
        <v>10</v>
      </c>
    </row>
    <row r="109" spans="1:6">
      <c r="A109" s="13">
        <v>61349</v>
      </c>
      <c r="B109" s="13" t="s">
        <v>240</v>
      </c>
      <c r="C109" s="14" t="str">
        <f>VLOOKUP(B109,[1]list!$A:$B,2,FALSE)</f>
        <v>FlashDetect™ Lyocart Carba-R Assay</v>
      </c>
      <c r="D109" s="15" t="s">
        <v>241</v>
      </c>
      <c r="E109" s="16">
        <v>100</v>
      </c>
      <c r="F109" s="16">
        <f>VLOOKUP(B109,[2]LIST!$D:$K,7,FALSE)</f>
        <v>11</v>
      </c>
    </row>
    <row r="110" spans="1:6">
      <c r="A110" s="13">
        <v>61350</v>
      </c>
      <c r="B110" s="13" t="s">
        <v>242</v>
      </c>
      <c r="C110" s="14" t="str">
        <f>VLOOKUP(B110,[1]list!$A:$B,2,FALSE)</f>
        <v>FlashDetect™ Lyocart Carba-R Assay</v>
      </c>
      <c r="D110" s="15" t="s">
        <v>243</v>
      </c>
      <c r="E110" s="16">
        <v>100</v>
      </c>
      <c r="F110" s="16">
        <f>VLOOKUP(B110,[2]LIST!$D:$K,7,FALSE)</f>
        <v>11</v>
      </c>
    </row>
    <row r="111" spans="1:6">
      <c r="A111" s="13">
        <v>61362</v>
      </c>
      <c r="B111" s="13">
        <v>7002027001</v>
      </c>
      <c r="C111" s="14" t="e">
        <f>VLOOKUP(B111,[1]list!$A:$B,2,FALSE)</f>
        <v>#N/A</v>
      </c>
      <c r="D111" s="15" t="s">
        <v>244</v>
      </c>
      <c r="E111" s="16">
        <v>100</v>
      </c>
      <c r="F111" s="16">
        <f>VLOOKUP(B111,[2]LIST!$D:$K,7,FALSE)</f>
        <v>80</v>
      </c>
    </row>
    <row r="112" spans="1:6">
      <c r="A112" s="13">
        <v>61379</v>
      </c>
      <c r="B112" s="13" t="s">
        <v>245</v>
      </c>
      <c r="C112" s="14" t="str">
        <f>VLOOKUP(B112,[1]list!$A:$B,2,FALSE)</f>
        <v>COYOTE® CCTS™ Microbial Sample Collection Kit</v>
      </c>
      <c r="D112" s="15" t="s">
        <v>246</v>
      </c>
      <c r="E112" s="16" t="str">
        <f>VLOOKUP(B112,[2]LIST!$D:$K,8,FALSE)</f>
        <v>FOC</v>
      </c>
      <c r="F112" s="16" t="str">
        <f>VLOOKUP(B112,[2]LIST!$D:$K,7,FALSE)</f>
        <v>FOC</v>
      </c>
    </row>
    <row r="113" spans="1:6">
      <c r="A113" s="13">
        <v>61409</v>
      </c>
      <c r="B113" s="13" t="s">
        <v>247</v>
      </c>
      <c r="C113" s="14" t="str">
        <f>VLOOKUP(B113,[1]list!$A:$B,2,FALSE)</f>
        <v>COYOTE® CCTS™ Universal Transport Medium Collection Kit （口咽拭子）</v>
      </c>
      <c r="D113" s="15" t="s">
        <v>248</v>
      </c>
      <c r="E113" s="16" t="e">
        <f>VLOOKUP(B113,[2]LIST!$D:$K,8,FALSE)</f>
        <v>#N/A</v>
      </c>
      <c r="F113" s="16" t="e">
        <f>VLOOKUP(B113,[2]LIST!$D:$K,7,FALSE)</f>
        <v>#N/A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Natasha-Coyote</dc:creator>
  <cp:lastModifiedBy>Natasha-Coyote</cp:lastModifiedBy>
  <dcterms:created xsi:type="dcterms:W3CDTF">2026-02-01T17:03:21Z</dcterms:created>
  <dcterms:modified xsi:type="dcterms:W3CDTF">2026-05-14T13:36:14Z</dcterms:modified>
</cp:coreProperties>
</file>